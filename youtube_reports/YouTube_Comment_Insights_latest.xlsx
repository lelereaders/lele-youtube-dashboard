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xl/workbook.xml><?xml version="1.0" encoding="utf-8"?>
<workbook xmlns="http://schemas.openxmlformats.org/spreadsheetml/2006/main" xmlns:r="http://schemas.openxmlformats.org/officeDocument/2006/relationships">
  <sheets>
    <sheet name="Dashboard" sheetId="1" r:id="rId1"/>
    <sheet name="Videos" sheetId="2" r:id="rId2"/>
    <sheet name="Comments" sheetId="3" r:id="rId3"/>
    <sheet name="Themes" sheetId="4" r:id="rId4"/>
    <sheet name="Action Ideas" sheetId="5" r:id="rId5"/>
  </sheets>
</workbook>
</file>

<file path=xl/styles.xml><?xml version="1.0" encoding="utf-8"?>
<styleSheet xmlns="http://schemas.openxmlformats.org/spreadsheetml/2006/main">
  <numFmts count="1">
    <numFmt numFmtId="164" formatCode="0.00%"/>
  </numFmts>
  <fonts count="2">
    <font>
      <sz val="11"/>
      <name val="Calibri"/>
    </font>
    <font>
      <b/>
      <sz val="11"/>
      <name val="Calibri"/>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3" fontId="0" fillId="0" borderId="0" xfId="0" applyNumberFormat="1"/>
    <xf numFmtId="164" fontId="0" fillId="0" borderId="0" xfId="0" applyNumberForma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6" max="6" width="45" customWidth="1"/>
    <col min="5" max="5" width="12" customWidth="1"/>
    <col min="4" max="4" width="12" customWidth="1"/>
    <col min="3" max="3" width="18" customWidth="1"/>
    <col min="2" max="2" width="70" customWidth="1"/>
    <col min="1" max="1" width="24" customWidth="1"/>
  </cols>
  <sheetData>
    <row r="1">
      <c r="A1" s="1" t="inlineStr">
        <is>
          <t>A</t>
        </is>
      </c>
      <c r="B1" s="1" t="inlineStr">
        <is>
          <t>B</t>
        </is>
      </c>
      <c r="C1" s="1" t="inlineStr">
        <is>
          <t>C</t>
        </is>
      </c>
      <c r="D1" s="1" t="inlineStr">
        <is>
          <t>D</t>
        </is>
      </c>
      <c r="E1" s="1" t="inlineStr">
        <is>
          <t>E</t>
        </is>
      </c>
      <c r="F1" s="1" t="inlineStr">
        <is>
          <t>F</t>
        </is>
      </c>
    </row>
    <row r="2">
      <c r="A2" s="2">
        <v>Metric</v>
      </c>
      <c r="B2" s="2">
        <v>Value</v>
      </c>
      <c r="C2" s="2">
        <v>Notes</v>
      </c>
      <c r="D2" s="2">
        <v/>
      </c>
      <c r="E2" s="2">
        <v/>
      </c>
      <c r="F2" t="inlineStr">
        <is>
          <t/>
        </is>
      </c>
    </row>
    <row r="3">
      <c r="A3" s="2">
        <v>Videos analyzed</v>
      </c>
      <c r="B3" s="2">
        <v>100</v>
      </c>
      <c r="C3" s="2">
        <v>Latest complete local export</v>
      </c>
      <c r="D3" s="2">
        <v/>
      </c>
      <c r="E3" s="2">
        <v/>
      </c>
      <c r="F3" t="inlineStr">
        <is>
          <t/>
        </is>
      </c>
    </row>
    <row r="4">
      <c r="A4" s="2">
        <v>Channel subscribers</v>
      </c>
      <c r="B4" s="2">
        <v>160</v>
      </c>
      <c r="C4" s="2">
        <v>Public YouTube channel subscriber count</v>
      </c>
      <c r="D4" s="2">
        <v/>
      </c>
      <c r="E4" s="2">
        <v/>
      </c>
      <c r="F4" t="inlineStr">
        <is>
          <t/>
        </is>
      </c>
    </row>
    <row r="5">
      <c r="A5" s="2">
        <v>Comments fetched</v>
      </c>
      <c r="B5" s="2">
        <v>17</v>
      </c>
      <c r="C5" s="2">
        <v>Public comments from exported videos</v>
      </c>
      <c r="D5" s="2">
        <v/>
      </c>
      <c r="E5" s="2">
        <v/>
      </c>
      <c r="F5" t="inlineStr">
        <is>
          <t/>
        </is>
      </c>
    </row>
    <row r="6">
      <c r="A6" s="2">
        <v>Public views total</v>
      </c>
      <c r="B6" s="2">
        <v>32019</v>
      </c>
      <c r="C6" s="2">
        <v/>
      </c>
      <c r="D6" s="2">
        <v/>
      </c>
      <c r="E6" s="2">
        <v/>
      </c>
      <c r="F6" t="inlineStr">
        <is>
          <t/>
        </is>
      </c>
    </row>
    <row r="7">
      <c r="A7" s="2">
        <v>Public likes total</v>
      </c>
      <c r="B7" s="2">
        <v>146</v>
      </c>
      <c r="C7" s="2">
        <v/>
      </c>
      <c r="D7" s="2">
        <v/>
      </c>
      <c r="E7" s="2">
        <v/>
      </c>
      <c r="F7" t="inlineStr">
        <is>
          <t/>
        </is>
      </c>
    </row>
    <row r="8">
      <c r="A8" s="2">
        <v>Public comments total</v>
      </c>
      <c r="B8" s="2">
        <v>17</v>
      </c>
      <c r="C8" s="2">
        <v/>
      </c>
      <c r="D8" s="2">
        <v/>
      </c>
      <c r="E8" s="2">
        <v/>
      </c>
      <c r="F8" t="inlineStr">
        <is>
          <t/>
        </is>
      </c>
    </row>
    <row r="9">
      <c r="A9" s="2">
        <v>Videos with comments</v>
      </c>
      <c r="B9" s="2">
        <v>9</v>
      </c>
      <c r="C9" s="2">
        <v/>
      </c>
      <c r="D9" s="2">
        <v/>
      </c>
      <c r="E9" s="2">
        <v/>
      </c>
      <c r="F9" t="inlineStr">
        <is>
          <t/>
        </is>
      </c>
    </row>
    <row r="10">
      <c r="A10" s="2">
        <v>Shorts count</v>
      </c>
      <c r="B10" s="2">
        <v>49</v>
      </c>
      <c r="C10" s="2">
        <v/>
      </c>
      <c r="D10" s="2">
        <v/>
      </c>
      <c r="E10" s="2">
        <v/>
      </c>
      <c r="F10" t="inlineStr">
        <is>
          <t/>
        </is>
      </c>
    </row>
    <row r="11">
      <c r="A11" s="2">
        <v>Long-form count</v>
      </c>
      <c r="B11" s="2">
        <v>51</v>
      </c>
      <c r="C11" s="2">
        <v/>
      </c>
      <c r="D11" s="2">
        <v/>
      </c>
      <c r="E11" s="2">
        <v/>
      </c>
      <c r="F11" t="inlineStr">
        <is>
          <t/>
        </is>
      </c>
    </row>
    <row r="12">
      <c r="A12" s="2">
        <v/>
      </c>
      <c r="B12" s="2">
        <v/>
      </c>
      <c r="C12" s="2">
        <v/>
      </c>
      <c r="D12" s="2">
        <v/>
      </c>
      <c r="E12" s="2">
        <v/>
      </c>
      <c r="F12" t="inlineStr">
        <is>
          <t/>
        </is>
      </c>
    </row>
    <row r="13">
      <c r="A13" s="2">
        <v>Top Videos by Views</v>
      </c>
      <c r="B13" s="2">
        <v/>
      </c>
      <c r="C13" s="2">
        <v/>
      </c>
      <c r="D13" s="2">
        <v/>
      </c>
      <c r="E13" s="2">
        <v/>
      </c>
      <c r="F13" t="inlineStr">
        <is>
          <t/>
        </is>
      </c>
    </row>
    <row r="14">
      <c r="A14" s="2">
        <v>Rank</v>
      </c>
      <c r="B14" s="2">
        <v>Title</v>
      </c>
      <c r="C14" s="2">
        <v>Views</v>
      </c>
      <c r="D14" s="2">
        <v>Likes</v>
      </c>
      <c r="E14" s="2">
        <v>Comments</v>
      </c>
      <c r="F14" t="inlineStr">
        <is>
          <t>URL</t>
        </is>
      </c>
    </row>
    <row r="15">
      <c r="A15" s="2">
        <v>1</v>
      </c>
      <c r="B15" s="2">
        <v>Le Le Chinese Song Sing-Along Read-Aloud｜Where's Mama? 和樂樂一起唱讀｜媽媽媽媽在哪裡?</v>
      </c>
      <c r="C15" s="2">
        <v>11218</v>
      </c>
      <c r="D15" s="2">
        <v>28</v>
      </c>
      <c r="E15" s="2">
        <v>1</v>
      </c>
      <c r="F15" s="4">
        <f>HYPERLINK("https://www.youtube.com/watch?v=uIh_eS18B1g","https://www.youtube.com/watch?v=uIh_eS18B1g")</f>
      </c>
    </row>
    <row r="16">
      <c r="A16" s="2">
        <v>2</v>
      </c>
      <c r="B16" s="2">
        <v>Le Le Chinese Song Sing-Along Read-Aloud｜Dragon Boat Song 和樂樂一起唱讀｜端午兒歌</v>
      </c>
      <c r="C16" s="2">
        <v>1940</v>
      </c>
      <c r="D16" s="2">
        <v>5</v>
      </c>
      <c r="E16" s="2">
        <v>1</v>
      </c>
      <c r="F16" s="4">
        <f>HYPERLINK("https://www.youtube.com/watch?v=YWZkP3iOrDo","https://www.youtube.com/watch?v=YWZkP3iOrDo")</f>
      </c>
    </row>
    <row r="17">
      <c r="A17" s="2">
        <v>3</v>
      </c>
      <c r="B17" s="2">
        <v>力玄華語對我的家族其實是外來語 #shorts</v>
      </c>
      <c r="C17" s="2">
        <v>1186</v>
      </c>
      <c r="D17" s="2">
        <v>12</v>
      </c>
      <c r="E17" s="2">
        <v>3</v>
      </c>
      <c r="F17" s="4">
        <f>HYPERLINK("https://www.youtube.com/watch?v=MPw_QotGKng","https://www.youtube.com/watch?v=MPw_QotGKng")</f>
      </c>
    </row>
    <row r="18">
      <c r="A18" s="2">
        <v>4</v>
      </c>
      <c r="B18" s="2">
        <v>因為拼音只是拼讀孩子可能會念卻寫不出換到另一個故事又完全卡住 #shorts</v>
      </c>
      <c r="C18" s="2">
        <v>1134</v>
      </c>
      <c r="D18" s="2">
        <v>7</v>
      </c>
      <c r="E18" s="2">
        <v>0</v>
      </c>
      <c r="F18" s="4">
        <f>HYPERLINK("https://www.youtube.com/watch?v=_UGl6HqIlRA","https://www.youtube.com/watch?v=_UGl6HqIlRA")</f>
      </c>
    </row>
    <row r="19">
      <c r="A19" s="2">
        <v>5</v>
      </c>
      <c r="B19" s="2">
        <v>我的母語是什麼 #shorts</v>
      </c>
      <c r="C19" s="2">
        <v>1121</v>
      </c>
      <c r="D19" s="2">
        <v>8</v>
      </c>
      <c r="E19" s="2">
        <v>5</v>
      </c>
      <c r="F19" s="4">
        <f>HYPERLINK("https://www.youtube.com/watch?v=COr7Y8WQolA","https://www.youtube.com/watch?v=COr7Y8WQolA")</f>
      </c>
    </row>
    <row r="20">
      <c r="A20" s="2">
        <v>6</v>
      </c>
      <c r="B20" s="2">
        <v>如何在海外創造必須用中文的環境 #shorts</v>
      </c>
      <c r="C20" s="2">
        <v>1111</v>
      </c>
      <c r="D20" s="2">
        <v>3</v>
      </c>
      <c r="E20" s="2">
        <v>0</v>
      </c>
      <c r="F20" s="4">
        <f>HYPERLINK("https://www.youtube.com/watch?v=2YXUzg9R--c","https://www.youtube.com/watch?v=2YXUzg9R--c")</f>
      </c>
    </row>
    <row r="21">
      <c r="A21" s="2">
        <v>7</v>
      </c>
      <c r="B21" s="2">
        <v>沒有一個更好的老師因為父母就是最好的老師  #shorts</v>
      </c>
      <c r="C21" s="2">
        <v>1027</v>
      </c>
      <c r="D21" s="2">
        <v>7</v>
      </c>
      <c r="E21" s="2">
        <v>0</v>
      </c>
      <c r="F21" s="4">
        <f>HYPERLINK("https://www.youtube.com/watch?v=As_rvS90u0U","https://www.youtube.com/watch?v=As_rvS90u0U")</f>
      </c>
    </row>
    <row r="22">
      <c r="A22" s="2">
        <v>8</v>
      </c>
      <c r="B22" s="2">
        <v>真正重要的不是字數而是他能不能讀懂故事 #shorts</v>
      </c>
      <c r="C22" s="2">
        <v>980</v>
      </c>
      <c r="D22" s="2">
        <v>5</v>
      </c>
      <c r="E22" s="2">
        <v>0</v>
      </c>
      <c r="F22" s="4">
        <f>HYPERLINK("https://www.youtube.com/watch?v=0kqFdl85Ovw","https://www.youtube.com/watch?v=0kqFdl85Ovw")</f>
      </c>
    </row>
    <row r="23">
      <c r="A23" s="2">
        <v>9</v>
      </c>
      <c r="B23" s="2">
        <v>孩子學母語，同時也在守護他們的心理健康✨ #shorts</v>
      </c>
      <c r="C23" s="2">
        <v>837</v>
      </c>
      <c r="D23" s="2">
        <v>5</v>
      </c>
      <c r="E23" s="2">
        <v>0</v>
      </c>
      <c r="F23" s="4">
        <f>HYPERLINK("https://www.youtube.com/watch?v=7ra5Zka3C2Y","https://www.youtube.com/watch?v=7ra5Zka3C2Y")</f>
      </c>
    </row>
    <row r="24">
      <c r="A24" s="2">
        <v>10</v>
      </c>
      <c r="B24" s="2">
        <v>It’s not that kids *can’t* speak Chinese—</v>
      </c>
      <c r="C24" s="2">
        <v>703</v>
      </c>
      <c r="D24" s="2">
        <v>3</v>
      </c>
      <c r="E24" s="2">
        <v>0</v>
      </c>
      <c r="F24" s="4">
        <f>HYPERLINK("https://www.youtube.com/watch?v=v-UeHLv5PPE","https://www.youtube.com/watch?v=v-UeHLv5PPE")</f>
      </c>
    </row>
    <row r="25">
      <c r="A25" s="2">
        <v/>
      </c>
      <c r="B25" s="2">
        <v/>
      </c>
      <c r="C25" s="2">
        <v/>
      </c>
      <c r="D25" s="2">
        <v/>
      </c>
      <c r="E25" s="2">
        <v/>
      </c>
      <c r="F25" t="inlineStr">
        <is>
          <t/>
        </is>
      </c>
    </row>
    <row r="26">
      <c r="A26" s="2">
        <v>Format</v>
      </c>
      <c r="B26" s="2">
        <v>Count</v>
      </c>
      <c r="C26" s="2">
        <v>Views</v>
      </c>
      <c r="D26" s="2">
        <v>Avg views</v>
      </c>
      <c r="E26" s="2">
        <v/>
      </c>
      <c r="F26" t="inlineStr">
        <is>
          <t/>
        </is>
      </c>
    </row>
    <row r="27">
      <c r="A27" s="2">
        <v>Shorts</v>
      </c>
      <c r="B27" s="2">
        <v>49</v>
      </c>
      <c r="C27" s="2">
        <v>12647</v>
      </c>
      <c r="D27" s="2">
        <v>258.1</v>
      </c>
      <c r="E27" s="2">
        <v/>
      </c>
      <c r="F27" t="inlineStr">
        <is>
          <t/>
        </is>
      </c>
    </row>
    <row r="28">
      <c r="A28" s="2">
        <v>Long-form</v>
      </c>
      <c r="B28" s="2">
        <v>51</v>
      </c>
      <c r="C28" s="2">
        <v>19372</v>
      </c>
      <c r="D28" s="2">
        <v>379.8</v>
      </c>
      <c r="E28" s="2">
        <v/>
      </c>
      <c r="F28" t="inlineStr">
        <is>
          <t/>
        </is>
      </c>
    </row>
  </sheetData>
  <autoFilter ref="A1:F28"/>
</worksheet>
</file>

<file path=xl/worksheets/sheet2.xml><?xml version="1.0" encoding="utf-8"?>
<worksheet xmlns="http://schemas.openxmlformats.org/spreadsheetml/2006/main">
  <sheetViews>
    <sheetView workbookViewId="0">
      <pane ySplit="1" topLeftCell="A2" activePane="bottomLeft" state="frozen"/>
    </sheetView>
  </sheetViews>
  <cols>
    <col min="9" max="9" width="10" customWidth="1"/>
    <col min="8" max="8" width="16" customWidth="1"/>
    <col min="7" max="7" width="12" customWidth="1"/>
    <col min="6" max="6" width="12" customWidth="1"/>
    <col min="5" max="5" width="12" customWidth="1"/>
    <col min="4" max="4" width="45" customWidth="1"/>
    <col min="3" max="3" width="14" customWidth="1"/>
    <col min="2" max="2" width="80" customWidth="1"/>
    <col min="1" max="1" width="16" customWidth="1"/>
  </cols>
  <sheetData>
    <row r="1">
      <c r="A1" s="1" t="inlineStr">
        <is>
          <t>Video ID</t>
        </is>
      </c>
      <c r="B1" s="1" t="inlineStr">
        <is>
          <t>Title</t>
        </is>
      </c>
      <c r="C1" s="1" t="inlineStr">
        <is>
          <t>Published</t>
        </is>
      </c>
      <c r="D1" s="1" t="inlineStr">
        <is>
          <t>URL</t>
        </is>
      </c>
      <c r="E1" s="1" t="inlineStr">
        <is>
          <t>Views</t>
        </is>
      </c>
      <c r="F1" s="1" t="inlineStr">
        <is>
          <t>Likes</t>
        </is>
      </c>
      <c r="G1" s="1" t="inlineStr">
        <is>
          <t>Comments</t>
        </is>
      </c>
      <c r="H1" s="1" t="inlineStr">
        <is>
          <t>Engagement Rate</t>
        </is>
      </c>
      <c r="I1" s="1" t="inlineStr">
        <is>
          <t>Shorts</t>
        </is>
      </c>
    </row>
    <row r="2">
      <c r="A2" t="inlineStr">
        <is>
          <t>YY-0gY55Nec</t>
        </is>
      </c>
      <c r="B2" t="inlineStr">
        <is>
          <t>Don't Let Mid-Autumn Disappear Just Yet #shorts</t>
        </is>
      </c>
      <c r="C2" t="inlineStr">
        <is>
          <t>09/26/2026</t>
        </is>
      </c>
      <c r="D2" s="4">
        <f>HYPERLINK("https://www.youtube.com/watch?v=YY-0gY55Nec","https://www.youtube.com/watch?v=YY-0gY55Nec")</f>
      </c>
      <c r="E2" s="2">
        <v>160</v>
      </c>
      <c r="F2" s="2">
        <v>0</v>
      </c>
      <c r="G2" s="2">
        <v>0</v>
      </c>
      <c r="H2" s="3">
        <v>0</v>
      </c>
      <c r="I2" t="inlineStr">
        <is>
          <t>Yes</t>
        </is>
      </c>
    </row>
    <row r="3">
      <c r="A3" t="inlineStr">
        <is>
          <t>K3pXeyGz6TY</t>
        </is>
      </c>
      <c r="B3" t="inlineStr">
        <is>
          <t>母語，是連結父母與孩子內心的一道橋 #shorts</t>
        </is>
      </c>
      <c r="C3" t="inlineStr">
        <is>
          <t>09/26/2026</t>
        </is>
      </c>
      <c r="D3" s="4">
        <f>HYPERLINK("https://www.youtube.com/watch?v=K3pXeyGz6TY","https://www.youtube.com/watch?v=K3pXeyGz6TY")</f>
      </c>
      <c r="E3" s="2">
        <v>355</v>
      </c>
      <c r="F3" s="2">
        <v>0</v>
      </c>
      <c r="G3" s="2">
        <v>0</v>
      </c>
      <c r="H3" s="3">
        <v>0</v>
      </c>
      <c r="I3" t="inlineStr">
        <is>
          <t>Yes</t>
        </is>
      </c>
    </row>
    <row r="4">
      <c r="A4" t="inlineStr">
        <is>
          <t>tbs3ONjU0qc</t>
        </is>
      </c>
      <c r="B4" t="inlineStr">
        <is>
          <t>Mid-Autumn Festival Song 🌕🥮 | 中秋兒歌（Full Song ⬆️ Above）</t>
        </is>
      </c>
      <c r="C4" t="inlineStr">
        <is>
          <t>09/19/2026</t>
        </is>
      </c>
      <c r="D4" s="4">
        <f>HYPERLINK("https://www.youtube.com/watch?v=tbs3ONjU0qc","https://www.youtube.com/watch?v=tbs3ONjU0qc")</f>
      </c>
      <c r="E4" s="2">
        <v>209</v>
      </c>
      <c r="F4" s="2">
        <v>1</v>
      </c>
      <c r="G4" s="2">
        <v>0</v>
      </c>
      <c r="H4" s="3">
        <v>0.0048</v>
      </c>
      <c r="I4" t="inlineStr">
        <is>
          <t>No</t>
        </is>
      </c>
    </row>
    <row r="5">
      <c r="A5" t="inlineStr">
        <is>
          <t>fWpydMnWUfg</t>
        </is>
      </c>
      <c r="B5" t="inlineStr">
        <is>
          <t>從小開始培養閱讀習慣, 養成孩子學習的內趨力 #shorts</t>
        </is>
      </c>
      <c r="C5" t="inlineStr">
        <is>
          <t>09/18/2026</t>
        </is>
      </c>
      <c r="D5" s="4">
        <f>HYPERLINK("https://www.youtube.com/watch?v=fWpydMnWUfg","https://www.youtube.com/watch?v=fWpydMnWUfg")</f>
      </c>
      <c r="E5" s="2">
        <v>6</v>
      </c>
      <c r="F5" s="2">
        <v>0</v>
      </c>
      <c r="G5" s="2">
        <v>0</v>
      </c>
      <c r="H5" s="3">
        <v>0</v>
      </c>
      <c r="I5" t="inlineStr">
        <is>
          <t>Yes</t>
        </is>
      </c>
    </row>
    <row r="6">
      <c r="A6" t="inlineStr">
        <is>
          <t>Kro2PP3NBrA</t>
        </is>
      </c>
      <c r="B6" t="inlineStr">
        <is>
          <t>Le Le Chinese Song Sing-Along Read-Aloud｜Mid Autumn Festival Song 和樂樂一起唱讀｜中秋兒歌</t>
        </is>
      </c>
      <c r="C6" t="inlineStr">
        <is>
          <t>09/15/2026</t>
        </is>
      </c>
      <c r="D6" s="4">
        <f>HYPERLINK("https://www.youtube.com/watch?v=Kro2PP3NBrA","https://www.youtube.com/watch?v=Kro2PP3NBrA")</f>
      </c>
      <c r="E6" s="2">
        <v>340</v>
      </c>
      <c r="F6" s="2">
        <v>6</v>
      </c>
      <c r="G6" s="2">
        <v>3</v>
      </c>
      <c r="H6" s="3">
        <v>0.0265</v>
      </c>
      <c r="I6" t="inlineStr">
        <is>
          <t>No</t>
        </is>
      </c>
    </row>
    <row r="7">
      <c r="A7" t="inlineStr">
        <is>
          <t>fmRggJXUf_g</t>
        </is>
      </c>
      <c r="B7" t="inlineStr">
        <is>
          <t>Make a Chinese Lantern with Your Kids | 親子手作燈籠</t>
        </is>
      </c>
      <c r="C7" t="inlineStr">
        <is>
          <t>09/12/2026</t>
        </is>
      </c>
      <c r="D7" s="4">
        <f>HYPERLINK("https://www.youtube.com/watch?v=fmRggJXUf_g","https://www.youtube.com/watch?v=fmRggJXUf_g")</f>
      </c>
      <c r="E7" s="2">
        <v>336</v>
      </c>
      <c r="F7" s="2">
        <v>3</v>
      </c>
      <c r="G7" s="2">
        <v>0</v>
      </c>
      <c r="H7" s="3">
        <v>0.0089</v>
      </c>
      <c r="I7" t="inlineStr">
        <is>
          <t>No</t>
        </is>
      </c>
    </row>
    <row r="8">
      <c r="A8" t="inlineStr">
        <is>
          <t>7qvQO694RhE</t>
        </is>
      </c>
      <c r="B8" t="inlineStr">
        <is>
          <t>提供孩子學習環境, 給孩子成長的空間 #shorts</t>
        </is>
      </c>
      <c r="C8" t="inlineStr">
        <is>
          <t>09/12/2026</t>
        </is>
      </c>
      <c r="D8" s="4">
        <f>HYPERLINK("https://www.youtube.com/watch?v=7qvQO694RhE","https://www.youtube.com/watch?v=7qvQO694RhE")</f>
      </c>
      <c r="E8" s="2">
        <v>2</v>
      </c>
      <c r="F8" s="2">
        <v>0</v>
      </c>
      <c r="G8" s="2">
        <v>0</v>
      </c>
      <c r="H8" s="3">
        <v>0</v>
      </c>
      <c r="I8" t="inlineStr">
        <is>
          <t>Yes</t>
        </is>
      </c>
    </row>
    <row r="9">
      <c r="A9" t="inlineStr">
        <is>
          <t>CwNKe7e569g</t>
        </is>
      </c>
      <c r="B9" t="inlineStr">
        <is>
          <t>063｜【樂樂 Talk】樂親子讀書會——為什麼孩子需要會說中文的朋友，家長需要同路人｜S3E23</t>
        </is>
      </c>
      <c r="C9" t="inlineStr">
        <is>
          <t>09/08/2026</t>
        </is>
      </c>
      <c r="D9" s="4">
        <f>HYPERLINK("https://www.youtube.com/watch?v=CwNKe7e569g","https://www.youtube.com/watch?v=CwNKe7e569g")</f>
      </c>
      <c r="E9" s="2">
        <v>31</v>
      </c>
      <c r="F9" s="2">
        <v>0</v>
      </c>
      <c r="G9" s="2">
        <v>0</v>
      </c>
      <c r="H9" s="3">
        <v>0</v>
      </c>
      <c r="I9" t="inlineStr">
        <is>
          <t>No</t>
        </is>
      </c>
    </row>
    <row r="10">
      <c r="A10" t="inlineStr">
        <is>
          <t>GGLSETg5OZg</t>
        </is>
      </c>
      <c r="B10" t="inlineStr">
        <is>
          <t>用故事書有趣的內容來驅使孩子主動閱讀 #shorts</t>
        </is>
      </c>
      <c r="C10" t="inlineStr">
        <is>
          <t>09/05/2026</t>
        </is>
      </c>
      <c r="D10" s="4">
        <f>HYPERLINK("https://www.youtube.com/watch?v=GGLSETg5OZg","https://www.youtube.com/watch?v=GGLSETg5OZg")</f>
      </c>
      <c r="E10" s="2">
        <v>3</v>
      </c>
      <c r="F10" s="2">
        <v>0</v>
      </c>
      <c r="G10" s="2">
        <v>0</v>
      </c>
      <c r="H10" s="3">
        <v>0</v>
      </c>
      <c r="I10" t="inlineStr">
        <is>
          <t>Yes</t>
        </is>
      </c>
    </row>
    <row r="11">
      <c r="A11" t="inlineStr">
        <is>
          <t>dT8xJIk0KLg</t>
        </is>
      </c>
      <c r="B11" t="inlineStr">
        <is>
          <t>樂樂書的編排有很多細節能讓孩子一讀再讀, 每次都有新發現 #shorts</t>
        </is>
      </c>
      <c r="C11" t="inlineStr">
        <is>
          <t>08/29/2026</t>
        </is>
      </c>
      <c r="D11" s="4">
        <f>HYPERLINK("https://www.youtube.com/watch?v=dT8xJIk0KLg","https://www.youtube.com/watch?v=dT8xJIk0KLg")</f>
      </c>
      <c r="E11" s="2">
        <v>5</v>
      </c>
      <c r="F11" s="2">
        <v>0</v>
      </c>
      <c r="G11" s="2">
        <v>0</v>
      </c>
      <c r="H11" s="3">
        <v>0</v>
      </c>
      <c r="I11" t="inlineStr">
        <is>
          <t>Yes</t>
        </is>
      </c>
    </row>
    <row r="12">
      <c r="A12" t="inlineStr">
        <is>
          <t>2gbNN4f_svs</t>
        </is>
      </c>
      <c r="B12" t="inlineStr">
        <is>
          <t>061｜【樂樂 Talk】如何讓不說中文的孩子開口說中文——先幫自己洗腦，再創造生存需求｜S3E22</t>
        </is>
      </c>
      <c r="C12" t="inlineStr">
        <is>
          <t>08/25/2026</t>
        </is>
      </c>
      <c r="D12" s="4">
        <f>HYPERLINK("https://www.youtube.com/watch?v=2gbNN4f_svs","https://www.youtube.com/watch?v=2gbNN4f_svs")</f>
      </c>
      <c r="E12" s="2">
        <v>229</v>
      </c>
      <c r="F12" s="2">
        <v>1</v>
      </c>
      <c r="G12" s="2">
        <v>0</v>
      </c>
      <c r="H12" s="3">
        <v>0.0044</v>
      </c>
      <c r="I12" t="inlineStr">
        <is>
          <t>No</t>
        </is>
      </c>
    </row>
    <row r="13">
      <c r="A13" t="inlineStr">
        <is>
          <t>NIRD4VW94aQ</t>
        </is>
      </c>
      <c r="B13" t="inlineStr">
        <is>
          <t>能跟孩子用母語溝通是件很寶貴的事 #shorts</t>
        </is>
      </c>
      <c r="C13" t="inlineStr">
        <is>
          <t>08/22/2026</t>
        </is>
      </c>
      <c r="D13" s="4">
        <f>HYPERLINK("https://www.youtube.com/watch?v=NIRD4VW94aQ","https://www.youtube.com/watch?v=NIRD4VW94aQ")</f>
      </c>
      <c r="E13" s="2">
        <v>8</v>
      </c>
      <c r="F13" s="2">
        <v>0</v>
      </c>
      <c r="G13" s="2">
        <v>0</v>
      </c>
      <c r="H13" s="3">
        <v>0</v>
      </c>
      <c r="I13" t="inlineStr">
        <is>
          <t>Yes</t>
        </is>
      </c>
    </row>
    <row r="14">
      <c r="A14" t="inlineStr">
        <is>
          <t>5igZAJZvIW4</t>
        </is>
      </c>
      <c r="B14" t="inlineStr">
        <is>
          <t>父母就是孩子最好的老師，因為沒有人比你更了解他 #shorts</t>
        </is>
      </c>
      <c r="C14" t="inlineStr">
        <is>
          <t>08/15/2026</t>
        </is>
      </c>
      <c r="D14" s="4">
        <f>HYPERLINK("https://www.youtube.com/watch?v=5igZAJZvIW4","https://www.youtube.com/watch?v=5igZAJZvIW4")</f>
      </c>
      <c r="E14" s="2">
        <v>52</v>
      </c>
      <c r="F14" s="2">
        <v>0</v>
      </c>
      <c r="G14" s="2">
        <v>0</v>
      </c>
      <c r="H14" s="3">
        <v>0</v>
      </c>
      <c r="I14" t="inlineStr">
        <is>
          <t>Yes</t>
        </is>
      </c>
    </row>
    <row r="15">
      <c r="A15" t="inlineStr">
        <is>
          <t>tnvwPuPCceg</t>
        </is>
      </c>
      <c r="B15" t="inlineStr">
        <is>
          <t>059｜【樂樂 Talk】海外孩子要打的小一大魔王——中英夾雜、說錯話，家長怎麼應對才不會搞砸？｜S3E21</t>
        </is>
      </c>
      <c r="C15" t="inlineStr">
        <is>
          <t>08/11/2026</t>
        </is>
      </c>
      <c r="D15" s="4">
        <f>HYPERLINK("https://www.youtube.com/watch?v=tnvwPuPCceg","https://www.youtube.com/watch?v=tnvwPuPCceg")</f>
      </c>
      <c r="E15" s="2">
        <v>147</v>
      </c>
      <c r="F15" s="2">
        <v>2</v>
      </c>
      <c r="G15" s="2">
        <v>0</v>
      </c>
      <c r="H15" s="3">
        <v>0.0136</v>
      </c>
      <c r="I15" t="inlineStr">
        <is>
          <t>No</t>
        </is>
      </c>
    </row>
    <row r="16">
      <c r="A16" t="inlineStr">
        <is>
          <t>vlS7Rmbj20s</t>
        </is>
      </c>
      <c r="B16" t="inlineStr">
        <is>
          <t>Emma doesn’t speak Chinese, yet her kids finished all 300 Le Le books</t>
        </is>
      </c>
      <c r="C16" t="inlineStr">
        <is>
          <t>08/08/2026</t>
        </is>
      </c>
      <c r="D16" s="4">
        <f>HYPERLINK("https://www.youtube.com/watch?v=vlS7Rmbj20s","https://www.youtube.com/watch?v=vlS7Rmbj20s")</f>
      </c>
      <c r="E16" s="2">
        <v>15</v>
      </c>
      <c r="F16" s="2">
        <v>0</v>
      </c>
      <c r="G16" s="2">
        <v>0</v>
      </c>
      <c r="H16" s="3">
        <v>0</v>
      </c>
      <c r="I16" t="inlineStr">
        <is>
          <t>No</t>
        </is>
      </c>
    </row>
    <row r="17">
      <c r="A17" t="inlineStr">
        <is>
          <t>goe-UOeBrOU</t>
        </is>
      </c>
      <c r="B17" t="inlineStr">
        <is>
          <t>Le Le Chinese Song Sing-Along Read-Aloud｜ Learn Colours in Chinese 和樂樂一起唱讀｜五顏六色</t>
        </is>
      </c>
      <c r="C17" t="inlineStr">
        <is>
          <t>08/07/2026</t>
        </is>
      </c>
      <c r="D17" s="4">
        <f>HYPERLINK("https://www.youtube.com/watch?v=goe-UOeBrOU","https://www.youtube.com/watch?v=goe-UOeBrOU")</f>
      </c>
      <c r="E17" s="2">
        <v>432</v>
      </c>
      <c r="F17" s="2">
        <v>2</v>
      </c>
      <c r="G17" s="2">
        <v>1</v>
      </c>
      <c r="H17" s="3">
        <v>0.0069</v>
      </c>
      <c r="I17" t="inlineStr">
        <is>
          <t>No</t>
        </is>
      </c>
    </row>
    <row r="18">
      <c r="A18" t="inlineStr">
        <is>
          <t>81z7sy7UCoU</t>
        </is>
      </c>
      <c r="B18" t="inlineStr">
        <is>
          <t>困難不在外面，而在心裡 ❤️ 一旦決定了，每個問題都有解方 #shorts</t>
        </is>
      </c>
      <c r="C18" t="inlineStr">
        <is>
          <t>08/01/2026</t>
        </is>
      </c>
      <c r="D18" s="4">
        <f>HYPERLINK("https://www.youtube.com/watch?v=81z7sy7UCoU","https://www.youtube.com/watch?v=81z7sy7UCoU")</f>
      </c>
      <c r="E18" s="2">
        <v>130</v>
      </c>
      <c r="F18" s="2">
        <v>1</v>
      </c>
      <c r="G18" s="2">
        <v>0</v>
      </c>
      <c r="H18" s="3">
        <v>0.0077</v>
      </c>
      <c r="I18" t="inlineStr">
        <is>
          <t>Yes</t>
        </is>
      </c>
    </row>
    <row r="19">
      <c r="A19" t="inlineStr">
        <is>
          <t>tBhdEUDbAmw</t>
        </is>
      </c>
      <c r="B19" t="inlineStr">
        <is>
          <t>057｜【樂樂 Talk】孩子有自我修正的能力——大量聽讀如何讓洋腔洋調悄悄消失｜S3E20</t>
        </is>
      </c>
      <c r="C19" t="inlineStr">
        <is>
          <t>07/28/2026</t>
        </is>
      </c>
      <c r="D19" s="4">
        <f>HYPERLINK("https://www.youtube.com/watch?v=tBhdEUDbAmw","https://www.youtube.com/watch?v=tBhdEUDbAmw")</f>
      </c>
      <c r="E19" s="2">
        <v>75</v>
      </c>
      <c r="F19" s="2">
        <v>0</v>
      </c>
      <c r="G19" s="2">
        <v>0</v>
      </c>
      <c r="H19" s="3">
        <v>0</v>
      </c>
      <c r="I19" t="inlineStr">
        <is>
          <t>No</t>
        </is>
      </c>
    </row>
    <row r="20">
      <c r="A20" t="inlineStr">
        <is>
          <t>3NtAzWC9dVQ</t>
        </is>
      </c>
      <c r="B20" t="inlineStr">
        <is>
          <t>我們能創造「不得不用」的機會，孩子就有可能把中文留住 #shorts</t>
        </is>
      </c>
      <c r="C20" t="inlineStr">
        <is>
          <t>07/25/2026</t>
        </is>
      </c>
      <c r="D20" s="4">
        <f>HYPERLINK("https://www.youtube.com/watch?v=3NtAzWC9dVQ","https://www.youtube.com/watch?v=3NtAzWC9dVQ")</f>
      </c>
      <c r="E20" s="2">
        <v>241</v>
      </c>
      <c r="F20" s="2">
        <v>0</v>
      </c>
      <c r="G20" s="2">
        <v>0</v>
      </c>
      <c r="H20" s="3">
        <v>0</v>
      </c>
      <c r="I20" t="inlineStr">
        <is>
          <t>Yes</t>
        </is>
      </c>
    </row>
    <row r="21">
      <c r="A21" t="inlineStr">
        <is>
          <t>4zqbHokYRiA</t>
        </is>
      </c>
      <c r="B21" t="inlineStr">
        <is>
          <t>愛上故事、讀懂內容，語感與字音會在反覆閱讀中自然長出來 #shorts</t>
        </is>
      </c>
      <c r="C21" t="inlineStr">
        <is>
          <t>07/18/2026</t>
        </is>
      </c>
      <c r="D21" s="4">
        <f>HYPERLINK("https://www.youtube.com/watch?v=4zqbHokYRiA","https://www.youtube.com/watch?v=4zqbHokYRiA")</f>
      </c>
      <c r="E21" s="2">
        <v>25</v>
      </c>
      <c r="F21" s="2">
        <v>0</v>
      </c>
      <c r="G21" s="2">
        <v>0</v>
      </c>
      <c r="H21" s="3">
        <v>0</v>
      </c>
      <c r="I21" t="inlineStr">
        <is>
          <t>Yes</t>
        </is>
      </c>
    </row>
    <row r="22">
      <c r="A22" t="inlineStr">
        <is>
          <t>pStoU9mSTYg</t>
        </is>
      </c>
      <c r="B22" t="inlineStr">
        <is>
          <t>055｜【樂樂 Talk】樂樂300本念完能有多少字彙量？——問錯問題，就會走上錯的路｜S3E19</t>
        </is>
      </c>
      <c r="C22" t="inlineStr">
        <is>
          <t>07/14/2026</t>
        </is>
      </c>
      <c r="D22" s="4">
        <f>HYPERLINK("https://www.youtube.com/watch?v=pStoU9mSTYg","https://www.youtube.com/watch?v=pStoU9mSTYg")</f>
      </c>
      <c r="E22" s="2">
        <v>37</v>
      </c>
      <c r="F22" s="2">
        <v>0</v>
      </c>
      <c r="G22" s="2">
        <v>0</v>
      </c>
      <c r="H22" s="3">
        <v>0</v>
      </c>
      <c r="I22" t="inlineStr">
        <is>
          <t>No</t>
        </is>
      </c>
    </row>
    <row r="23">
      <c r="A23" t="inlineStr">
        <is>
          <t>ob31JAy9EO0</t>
        </is>
      </c>
      <c r="B23" t="inlineStr">
        <is>
          <t>📍 台北世貿一館 C533 🗓️ 2026年7月 12-14日 #shorts</t>
        </is>
      </c>
      <c r="C23" t="inlineStr">
        <is>
          <t>07/11/2026</t>
        </is>
      </c>
      <c r="D23" s="4">
        <f>HYPERLINK("https://www.youtube.com/watch?v=ob31JAy9EO0","https://www.youtube.com/watch?v=ob31JAy9EO0")</f>
      </c>
      <c r="E23" s="2">
        <v>68</v>
      </c>
      <c r="F23" s="2">
        <v>0</v>
      </c>
      <c r="G23" s="2">
        <v>0</v>
      </c>
      <c r="H23" s="3">
        <v>0</v>
      </c>
      <c r="I23" t="inlineStr">
        <is>
          <t>Yes</t>
        </is>
      </c>
    </row>
    <row r="24">
      <c r="A24" t="inlineStr">
        <is>
          <t>7ra5Zka3C2Y</t>
        </is>
      </c>
      <c r="B24" t="inlineStr">
        <is>
          <t>孩子學母語，同時也在守護他們的心理健康✨ #shorts</t>
        </is>
      </c>
      <c r="C24" t="inlineStr">
        <is>
          <t>07/11/2026</t>
        </is>
      </c>
      <c r="D24" s="4">
        <f>HYPERLINK("https://www.youtube.com/watch?v=7ra5Zka3C2Y","https://www.youtube.com/watch?v=7ra5Zka3C2Y")</f>
      </c>
      <c r="E24" s="2">
        <v>837</v>
      </c>
      <c r="F24" s="2">
        <v>5</v>
      </c>
      <c r="G24" s="2">
        <v>0</v>
      </c>
      <c r="H24" s="3">
        <v>0.006</v>
      </c>
      <c r="I24" t="inlineStr">
        <is>
          <t>Yes</t>
        </is>
      </c>
    </row>
    <row r="25">
      <c r="A25" t="inlineStr">
        <is>
          <t>2lniaAlT6Vs</t>
        </is>
      </c>
      <c r="B25" t="inlineStr">
        <is>
          <t>會說中文，和教孩子中文，是兩件不同的事。請善待自己，給自己一點空間。 #shorts</t>
        </is>
      </c>
      <c r="C25" t="inlineStr">
        <is>
          <t>07/04/2026</t>
        </is>
      </c>
      <c r="D25" s="4">
        <f>HYPERLINK("https://www.youtube.com/watch?v=2lniaAlT6Vs","https://www.youtube.com/watch?v=2lniaAlT6Vs")</f>
      </c>
      <c r="E25" s="2">
        <v>43</v>
      </c>
      <c r="F25" s="2">
        <v>0</v>
      </c>
      <c r="G25" s="2">
        <v>0</v>
      </c>
      <c r="H25" s="3">
        <v>0</v>
      </c>
      <c r="I25" t="inlineStr">
        <is>
          <t>Yes</t>
        </is>
      </c>
    </row>
    <row r="26">
      <c r="A26" t="inlineStr">
        <is>
          <t>Kp9M8t54t0M</t>
        </is>
      </c>
      <c r="B26" t="inlineStr">
        <is>
          <t>053｜【樂樂 Talk】如果你用繪本標準看樂樂，這一集可能會顛覆你——圖文設計背後的學習科學｜S3E18</t>
        </is>
      </c>
      <c r="C26" t="inlineStr">
        <is>
          <t>06/30/2026</t>
        </is>
      </c>
      <c r="D26" s="4">
        <f>HYPERLINK("https://www.youtube.com/watch?v=Kp9M8t54t0M","https://www.youtube.com/watch?v=Kp9M8t54t0M")</f>
      </c>
      <c r="E26" s="2">
        <v>18</v>
      </c>
      <c r="F26" s="2">
        <v>0</v>
      </c>
      <c r="G26" s="2">
        <v>0</v>
      </c>
      <c r="H26" s="3">
        <v>0</v>
      </c>
      <c r="I26" t="inlineStr">
        <is>
          <t>No</t>
        </is>
      </c>
    </row>
    <row r="27">
      <c r="A27" t="inlineStr">
        <is>
          <t>Bdtcmxka_MY</t>
        </is>
      </c>
      <c r="B27" t="inlineStr">
        <is>
          <t>文字不是冷冰冰的符號，當它出現在故事裡，就會變成孩子的朋友 #shorts</t>
        </is>
      </c>
      <c r="C27" t="inlineStr">
        <is>
          <t>06/27/2026</t>
        </is>
      </c>
      <c r="D27" s="4">
        <f>HYPERLINK("https://www.youtube.com/watch?v=Bdtcmxka_MY","https://www.youtube.com/watch?v=Bdtcmxka_MY")</f>
      </c>
      <c r="E27" s="2">
        <v>34</v>
      </c>
      <c r="F27" s="2">
        <v>0</v>
      </c>
      <c r="G27" s="2">
        <v>0</v>
      </c>
      <c r="H27" s="3">
        <v>0</v>
      </c>
      <c r="I27" t="inlineStr">
        <is>
          <t>Yes</t>
        </is>
      </c>
    </row>
    <row r="28">
      <c r="A28" t="inlineStr">
        <is>
          <t>uIh_eS18B1g</t>
        </is>
      </c>
      <c r="B28" t="inlineStr">
        <is>
          <t>Le Le Chinese Song Sing-Along Read-Aloud｜Where's Mama? 和樂樂一起唱讀｜媽媽媽媽在哪裡?</t>
        </is>
      </c>
      <c r="C28" t="inlineStr">
        <is>
          <t>06/26/2026</t>
        </is>
      </c>
      <c r="D28" s="4">
        <f>HYPERLINK("https://www.youtube.com/watch?v=uIh_eS18B1g","https://www.youtube.com/watch?v=uIh_eS18B1g")</f>
      </c>
      <c r="E28" s="2">
        <v>11218</v>
      </c>
      <c r="F28" s="2">
        <v>28</v>
      </c>
      <c r="G28" s="2">
        <v>1</v>
      </c>
      <c r="H28" s="3">
        <v>0.0026</v>
      </c>
      <c r="I28" t="inlineStr">
        <is>
          <t>No</t>
        </is>
      </c>
    </row>
    <row r="29">
      <c r="A29" t="inlineStr">
        <is>
          <t>40hJk3-ng3U</t>
        </is>
      </c>
      <c r="B29" t="inlineStr">
        <is>
          <t>This Dragon Boat Festival, let them learn through song.</t>
        </is>
      </c>
      <c r="C29" t="inlineStr">
        <is>
          <t>06/20/2026</t>
        </is>
      </c>
      <c r="D29" s="4">
        <f>HYPERLINK("https://www.youtube.com/watch?v=40hJk3-ng3U","https://www.youtube.com/watch?v=40hJk3-ng3U")</f>
      </c>
      <c r="E29" s="2">
        <v>21</v>
      </c>
      <c r="F29" s="2">
        <v>0</v>
      </c>
      <c r="G29" s="2">
        <v>0</v>
      </c>
      <c r="H29" s="3">
        <v>0</v>
      </c>
      <c r="I29" t="inlineStr">
        <is>
          <t>No</t>
        </is>
      </c>
    </row>
    <row r="30">
      <c r="A30" t="inlineStr">
        <is>
          <t>Mi5VfA4LjIA</t>
        </is>
      </c>
      <c r="B30" t="inlineStr">
        <is>
          <t>樂樂書裡(紅59_媽媽)的故事連結家長與孩子的溫馨回憶 #shorts</t>
        </is>
      </c>
      <c r="C30" t="inlineStr">
        <is>
          <t>06/20/2026</t>
        </is>
      </c>
      <c r="D30" s="4">
        <f>HYPERLINK("https://www.youtube.com/watch?v=Mi5VfA4LjIA","https://www.youtube.com/watch?v=Mi5VfA4LjIA")</f>
      </c>
      <c r="E30" s="2">
        <v>19</v>
      </c>
      <c r="F30" s="2">
        <v>0</v>
      </c>
      <c r="G30" s="2">
        <v>0</v>
      </c>
      <c r="H30" s="3">
        <v>0</v>
      </c>
      <c r="I30" t="inlineStr">
        <is>
          <t>Yes</t>
        </is>
      </c>
    </row>
    <row r="31">
      <c r="A31" t="inlineStr">
        <is>
          <t>YWZkP3iOrDo</t>
        </is>
      </c>
      <c r="B31" t="inlineStr">
        <is>
          <t>Le Le Chinese Song Sing-Along Read-Aloud｜Dragon Boat Song 和樂樂一起唱讀｜端午兒歌</t>
        </is>
      </c>
      <c r="C31" t="inlineStr">
        <is>
          <t>06/19/2026</t>
        </is>
      </c>
      <c r="D31" s="4">
        <f>HYPERLINK("https://www.youtube.com/watch?v=YWZkP3iOrDo","https://www.youtube.com/watch?v=YWZkP3iOrDo")</f>
      </c>
      <c r="E31" s="2">
        <v>1940</v>
      </c>
      <c r="F31" s="2">
        <v>5</v>
      </c>
      <c r="G31" s="2">
        <v>1</v>
      </c>
      <c r="H31" s="3">
        <v>0.0031</v>
      </c>
      <c r="I31" t="inlineStr">
        <is>
          <t>No</t>
        </is>
      </c>
    </row>
    <row r="32">
      <c r="A32" t="inlineStr">
        <is>
          <t>R5yyhHk-J0s</t>
        </is>
      </c>
      <c r="B32" t="inlineStr">
        <is>
          <t>Le Le Chinese Song Sing-Along Read-Aloud｜Where Are Daddy's Things? 和樂樂一起唱讀｜爸爸的東西在哪裡?</t>
        </is>
      </c>
      <c r="C32" t="inlineStr">
        <is>
          <t>06/19/2026</t>
        </is>
      </c>
      <c r="D32" s="4">
        <f>HYPERLINK("https://www.youtube.com/watch?v=R5yyhHk-J0s","https://www.youtube.com/watch?v=R5yyhHk-J0s")</f>
      </c>
      <c r="E32" s="2">
        <v>118</v>
      </c>
      <c r="F32" s="2">
        <v>0</v>
      </c>
      <c r="G32" s="2">
        <v>1</v>
      </c>
      <c r="H32" s="3">
        <v>0.0085</v>
      </c>
      <c r="I32" t="inlineStr">
        <is>
          <t>No</t>
        </is>
      </c>
    </row>
    <row r="33">
      <c r="A33" t="inlineStr">
        <is>
          <t>_JKtuITH1EU</t>
        </is>
      </c>
      <c r="B33" t="inlineStr">
        <is>
          <t>051｜【樂樂 Talk】一代移民的孩子，怎麼在雙語中長大——擁有最強中文資源，卻最容易失敗的原因｜S3E17</t>
        </is>
      </c>
      <c r="C33" t="inlineStr">
        <is>
          <t>06/16/2026</t>
        </is>
      </c>
      <c r="D33" s="4">
        <f>HYPERLINK("https://www.youtube.com/watch?v=_JKtuITH1EU","https://www.youtube.com/watch?v=_JKtuITH1EU")</f>
      </c>
      <c r="E33" s="2">
        <v>44</v>
      </c>
      <c r="F33" s="2">
        <v>0</v>
      </c>
      <c r="G33" s="2">
        <v>0</v>
      </c>
      <c r="H33" s="3">
        <v>0</v>
      </c>
      <c r="I33" t="inlineStr">
        <is>
          <t>No</t>
        </is>
      </c>
    </row>
    <row r="34">
      <c r="A34" t="inlineStr">
        <is>
          <t>tWX11sxfSL8</t>
        </is>
      </c>
      <c r="B34" t="inlineStr">
        <is>
          <t>讓孩子讀喜歡的書 重點是要持續享受閱讀 #shorts</t>
        </is>
      </c>
      <c r="C34" t="inlineStr">
        <is>
          <t>06/13/2026</t>
        </is>
      </c>
      <c r="D34" s="4">
        <f>HYPERLINK("https://www.youtube.com/watch?v=tWX11sxfSL8","https://www.youtube.com/watch?v=tWX11sxfSL8")</f>
      </c>
      <c r="E34" s="2">
        <v>46</v>
      </c>
      <c r="F34" s="2">
        <v>1</v>
      </c>
      <c r="G34" s="2">
        <v>0</v>
      </c>
      <c r="H34" s="3">
        <v>0.0217</v>
      </c>
      <c r="I34" t="inlineStr">
        <is>
          <t>Yes</t>
        </is>
      </c>
    </row>
    <row r="35">
      <c r="A35" t="inlineStr">
        <is>
          <t>SFvmvuO_HfY</t>
        </is>
      </c>
      <c r="B35" t="inlineStr">
        <is>
          <t>不是靠技巧，而是大人先能感受、體會、享受其中 #shorts</t>
        </is>
      </c>
      <c r="C35" t="inlineStr">
        <is>
          <t>06/06/2026</t>
        </is>
      </c>
      <c r="D35" s="4">
        <f>HYPERLINK("https://www.youtube.com/watch?v=SFvmvuO_HfY","https://www.youtube.com/watch?v=SFvmvuO_HfY")</f>
      </c>
      <c r="E35" s="2">
        <v>26</v>
      </c>
      <c r="F35" s="2">
        <v>0</v>
      </c>
      <c r="G35" s="2">
        <v>0</v>
      </c>
      <c r="H35" s="3">
        <v>0</v>
      </c>
      <c r="I35" t="inlineStr">
        <is>
          <t>Yes</t>
        </is>
      </c>
    </row>
    <row r="36">
      <c r="A36" t="inlineStr">
        <is>
          <t>1WZbykZn8xM</t>
        </is>
      </c>
      <c r="B36" t="inlineStr">
        <is>
          <t>049｜【樂樂 Talk】當孩子中文進步太快——另一半焦慮、當地語言退步了怎麼辦？｜S3E16</t>
        </is>
      </c>
      <c r="C36" t="inlineStr">
        <is>
          <t>06/02/2026</t>
        </is>
      </c>
      <c r="D36" s="4">
        <f>HYPERLINK("https://www.youtube.com/watch?v=1WZbykZn8xM","https://www.youtube.com/watch?v=1WZbykZn8xM")</f>
      </c>
      <c r="E36" s="2">
        <v>28</v>
      </c>
      <c r="F36" s="2">
        <v>1</v>
      </c>
      <c r="G36" s="2">
        <v>0</v>
      </c>
      <c r="H36" s="3">
        <v>0.0357</v>
      </c>
      <c r="I36" t="inlineStr">
        <is>
          <t>No</t>
        </is>
      </c>
    </row>
    <row r="37">
      <c r="A37" t="inlineStr">
        <is>
          <t>I4LBpvuZHmE</t>
        </is>
      </c>
      <c r="B37" t="inlineStr">
        <is>
          <t>腦袋遠比我們想像得更能承載多語 #shorts</t>
        </is>
      </c>
      <c r="C37" t="inlineStr">
        <is>
          <t>05/30/2026</t>
        </is>
      </c>
      <c r="D37" s="4">
        <f>HYPERLINK("https://www.youtube.com/watch?v=I4LBpvuZHmE","https://www.youtube.com/watch?v=I4LBpvuZHmE")</f>
      </c>
      <c r="E37" s="2">
        <v>118</v>
      </c>
      <c r="F37" s="2">
        <v>0</v>
      </c>
      <c r="G37" s="2">
        <v>0</v>
      </c>
      <c r="H37" s="3">
        <v>0</v>
      </c>
      <c r="I37" t="inlineStr">
        <is>
          <t>Yes</t>
        </is>
      </c>
    </row>
    <row r="38">
      <c r="A38" t="inlineStr">
        <is>
          <t>G0pBnvlFHko</t>
        </is>
      </c>
      <c r="B38" t="inlineStr">
        <is>
          <t>048｜【樂樂 Talk】為什麼孩子只想重複讀同一本書？——把書藏到衣櫃裡，Jewel 的真實告白｜S4E05</t>
        </is>
      </c>
      <c r="C38" t="inlineStr">
        <is>
          <t>05/26/2026</t>
        </is>
      </c>
      <c r="D38" s="4">
        <f>HYPERLINK("https://www.youtube.com/watch?v=G0pBnvlFHko","https://www.youtube.com/watch?v=G0pBnvlFHko")</f>
      </c>
      <c r="E38" s="2">
        <v>30</v>
      </c>
      <c r="F38" s="2">
        <v>1</v>
      </c>
      <c r="G38" s="2">
        <v>0</v>
      </c>
      <c r="H38" s="3">
        <v>0.0333</v>
      </c>
      <c r="I38" t="inlineStr">
        <is>
          <t>No</t>
        </is>
      </c>
    </row>
    <row r="39">
      <c r="A39" t="inlineStr">
        <is>
          <t>M_oWZ54-bns</t>
        </is>
      </c>
      <c r="B39" t="inlineStr">
        <is>
          <t>原來孩子放棄中文的真正原因是....壓力🦆 #shorts</t>
        </is>
      </c>
      <c r="C39" t="inlineStr">
        <is>
          <t>05/23/2026</t>
        </is>
      </c>
      <c r="D39" s="4">
        <f>HYPERLINK("https://www.youtube.com/watch?v=M_oWZ54-bns","https://www.youtube.com/watch?v=M_oWZ54-bns")</f>
      </c>
      <c r="E39" s="2">
        <v>3</v>
      </c>
      <c r="F39" s="2">
        <v>0</v>
      </c>
      <c r="G39" s="2">
        <v>0</v>
      </c>
      <c r="H39" s="3">
        <v>0</v>
      </c>
      <c r="I39" t="inlineStr">
        <is>
          <t>Yes</t>
        </is>
      </c>
    </row>
    <row r="40">
      <c r="A40" t="inlineStr">
        <is>
          <t>NKCd10Go2mE</t>
        </is>
      </c>
      <c r="B40" t="inlineStr">
        <is>
          <t>047｜【樂樂 Talk】為什麼孩子只看圖不看字？——放下識字焦慮，看圖才是閱讀真正的起點｜S3E15</t>
        </is>
      </c>
      <c r="C40" t="inlineStr">
        <is>
          <t>05/19/2026</t>
        </is>
      </c>
      <c r="D40" s="4">
        <f>HYPERLINK("https://www.youtube.com/watch?v=NKCd10Go2mE","https://www.youtube.com/watch?v=NKCd10Go2mE")</f>
      </c>
      <c r="E40" s="2">
        <v>29</v>
      </c>
      <c r="F40" s="2">
        <v>0</v>
      </c>
      <c r="G40" s="2">
        <v>0</v>
      </c>
      <c r="H40" s="3">
        <v>0</v>
      </c>
      <c r="I40" t="inlineStr">
        <is>
          <t>No</t>
        </is>
      </c>
    </row>
    <row r="41">
      <c r="A41" t="inlineStr">
        <is>
          <t>a6Bm-ftleDM</t>
        </is>
      </c>
      <c r="B41" t="inlineStr">
        <is>
          <t>重複，是最自然的學習方式 #shorts</t>
        </is>
      </c>
      <c r="C41" t="inlineStr">
        <is>
          <t>05/16/2026</t>
        </is>
      </c>
      <c r="D41" s="4">
        <f>HYPERLINK("https://www.youtube.com/watch?v=a6Bm-ftleDM","https://www.youtube.com/watch?v=a6Bm-ftleDM")</f>
      </c>
      <c r="E41" s="2">
        <v>65</v>
      </c>
      <c r="F41" s="2">
        <v>0</v>
      </c>
      <c r="G41" s="2">
        <v>0</v>
      </c>
      <c r="H41" s="3">
        <v>0</v>
      </c>
      <c r="I41" t="inlineStr">
        <is>
          <t>Yes</t>
        </is>
      </c>
    </row>
    <row r="42">
      <c r="A42" t="inlineStr">
        <is>
          <t>gBLovSpZ-Eo</t>
        </is>
      </c>
      <c r="B42" t="inlineStr">
        <is>
          <t>046｜【樂樂 Talk】為什麼孩子只要我讀？——孩子不肯自己讀，其實是最好的訊號｜S4E04</t>
        </is>
      </c>
      <c r="C42" t="inlineStr">
        <is>
          <t>05/12/2026</t>
        </is>
      </c>
      <c r="D42" s="4">
        <f>HYPERLINK("https://www.youtube.com/watch?v=gBLovSpZ-Eo","https://www.youtube.com/watch?v=gBLovSpZ-Eo")</f>
      </c>
      <c r="E42" s="2">
        <v>35</v>
      </c>
      <c r="F42" s="2">
        <v>1</v>
      </c>
      <c r="G42" s="2">
        <v>1</v>
      </c>
      <c r="H42" s="3">
        <v>0.0571</v>
      </c>
      <c r="I42" t="inlineStr">
        <is>
          <t>No</t>
        </is>
      </c>
    </row>
    <row r="43">
      <c r="A43" t="inlineStr">
        <is>
          <t>L7yqvCALW_I</t>
        </is>
      </c>
      <c r="B43" t="inlineStr">
        <is>
          <t>一次購入 300 本樂樂書，和一群家庭持續 2–3 年共讀，孩子在幸福的環境裡自然走向獨立閱讀 #shorts</t>
        </is>
      </c>
      <c r="C43" t="inlineStr">
        <is>
          <t>05/09/2026</t>
        </is>
      </c>
      <c r="D43" s="4">
        <f>HYPERLINK("https://www.youtube.com/watch?v=L7yqvCALW_I","https://www.youtube.com/watch?v=L7yqvCALW_I")</f>
      </c>
      <c r="E43" s="2">
        <v>66</v>
      </c>
      <c r="F43" s="2">
        <v>0</v>
      </c>
      <c r="G43" s="2">
        <v>0</v>
      </c>
      <c r="H43" s="3">
        <v>0</v>
      </c>
      <c r="I43" t="inlineStr">
        <is>
          <t>Yes</t>
        </is>
      </c>
    </row>
    <row r="44">
      <c r="A44" t="inlineStr">
        <is>
          <t>rIAHgQuHq2Q</t>
        </is>
      </c>
      <c r="B44" t="inlineStr">
        <is>
          <t>045｜【樂樂 Talk】每天10分鐘，夠嗎？——從跳繩實驗到三歲半突然自己讀完一本書｜S3E13</t>
        </is>
      </c>
      <c r="C44" t="inlineStr">
        <is>
          <t>05/05/2026</t>
        </is>
      </c>
      <c r="D44" s="4">
        <f>HYPERLINK("https://www.youtube.com/watch?v=rIAHgQuHq2Q","https://www.youtube.com/watch?v=rIAHgQuHq2Q")</f>
      </c>
      <c r="E44" s="2">
        <v>10</v>
      </c>
      <c r="F44" s="2">
        <v>0</v>
      </c>
      <c r="G44" s="2">
        <v>0</v>
      </c>
      <c r="H44" s="3">
        <v>0</v>
      </c>
      <c r="I44" t="inlineStr">
        <is>
          <t>No</t>
        </is>
      </c>
    </row>
    <row r="45">
      <c r="A45" t="inlineStr">
        <is>
          <t>NxeVOWfGP-k</t>
        </is>
      </c>
      <c r="B45" t="inlineStr">
        <is>
          <t>Untitled #shorts</t>
        </is>
      </c>
      <c r="C45" t="inlineStr">
        <is>
          <t>05/02/2026</t>
        </is>
      </c>
      <c r="D45" s="4">
        <f>HYPERLINK("https://www.youtube.com/watch?v=NxeVOWfGP-k","https://www.youtube.com/watch?v=NxeVOWfGP-k")</f>
      </c>
      <c r="E45" s="2">
        <v>113</v>
      </c>
      <c r="F45" s="2">
        <v>5</v>
      </c>
      <c r="G45" s="2">
        <v>0</v>
      </c>
      <c r="H45" s="3">
        <v>0.0442</v>
      </c>
      <c r="I45" t="inlineStr">
        <is>
          <t>Yes</t>
        </is>
      </c>
    </row>
    <row r="46">
      <c r="A46" t="inlineStr">
        <is>
          <t>Toc1mr7KORw</t>
        </is>
      </c>
      <c r="B46" t="inlineStr">
        <is>
          <t>044｜【樂樂 Talk】為什麼閱讀比會說更重要？——海外家庭守護中文最需要知道的一件事｜S403</t>
        </is>
      </c>
      <c r="C46" t="inlineStr">
        <is>
          <t>04/28/2026</t>
        </is>
      </c>
      <c r="D46" s="4">
        <f>HYPERLINK("https://www.youtube.com/watch?v=Toc1mr7KORw","https://www.youtube.com/watch?v=Toc1mr7KORw")</f>
      </c>
      <c r="E46" s="2">
        <v>80</v>
      </c>
      <c r="F46" s="2">
        <v>1</v>
      </c>
      <c r="G46" s="2">
        <v>0</v>
      </c>
      <c r="H46" s="3">
        <v>0.0125</v>
      </c>
      <c r="I46" t="inlineStr">
        <is>
          <t>No</t>
        </is>
      </c>
    </row>
    <row r="47">
      <c r="A47" t="inlineStr">
        <is>
          <t>SQ781eMsfG0</t>
        </is>
      </c>
      <c r="B47" t="inlineStr">
        <is>
          <t>🤔明明 6 歲前會雙語，為什麼一上學就不再說中文？ #shorts</t>
        </is>
      </c>
      <c r="C47" t="inlineStr">
        <is>
          <t>04/25/2026</t>
        </is>
      </c>
      <c r="D47" s="4">
        <f>HYPERLINK("https://www.youtube.com/watch?v=SQ781eMsfG0","https://www.youtube.com/watch?v=SQ781eMsfG0")</f>
      </c>
      <c r="E47" s="2">
        <v>158</v>
      </c>
      <c r="F47" s="2">
        <v>1</v>
      </c>
      <c r="G47" s="2">
        <v>0</v>
      </c>
      <c r="H47" s="3">
        <v>0.0063</v>
      </c>
      <c r="I47" t="inlineStr">
        <is>
          <t>Yes</t>
        </is>
      </c>
    </row>
    <row r="48">
      <c r="A48" t="inlineStr">
        <is>
          <t>CGnUHEeHlts</t>
        </is>
      </c>
      <c r="B48" t="inlineStr">
        <is>
          <t>043｜【樂樂 Talk】共讀挑戰存在的理由——不是為了完美達成，而是為了讓你不再一個人撐｜S3E13</t>
        </is>
      </c>
      <c r="C48" t="inlineStr">
        <is>
          <t>04/21/2026</t>
        </is>
      </c>
      <c r="D48" s="4">
        <f>HYPERLINK("https://www.youtube.com/watch?v=CGnUHEeHlts","https://www.youtube.com/watch?v=CGnUHEeHlts")</f>
      </c>
      <c r="E48" s="2">
        <v>69</v>
      </c>
      <c r="F48" s="2">
        <v>2</v>
      </c>
      <c r="G48" s="2">
        <v>0</v>
      </c>
      <c r="H48" s="3">
        <v>0.029</v>
      </c>
      <c r="I48" t="inlineStr">
        <is>
          <t>No</t>
        </is>
      </c>
    </row>
    <row r="49">
      <c r="A49" t="inlineStr">
        <is>
          <t>HFMQYNCYQw8</t>
        </is>
      </c>
      <c r="B49" t="inlineStr">
        <is>
          <t>能講中文給孩子聽的，可能只有你。一旦錯過黃金期，中文就真的回不來。 💔 #shorts</t>
        </is>
      </c>
      <c r="C49" t="inlineStr">
        <is>
          <t>04/18/2026</t>
        </is>
      </c>
      <c r="D49" s="4">
        <f>HYPERLINK("https://www.youtube.com/watch?v=HFMQYNCYQw8","https://www.youtube.com/watch?v=HFMQYNCYQw8")</f>
      </c>
      <c r="E49" s="2">
        <v>39</v>
      </c>
      <c r="F49" s="2">
        <v>0</v>
      </c>
      <c r="G49" s="2">
        <v>0</v>
      </c>
      <c r="H49" s="3">
        <v>0</v>
      </c>
      <c r="I49" t="inlineStr">
        <is>
          <t>Yes</t>
        </is>
      </c>
    </row>
    <row r="50">
      <c r="A50" t="inlineStr">
        <is>
          <t>6kQxIMwsbKU</t>
        </is>
      </c>
      <c r="B50" t="inlineStr">
        <is>
          <t>042｜【樂樂 Talk】比較，會讓你忘記為什麼出發——寫給每個走得很累的海外家長｜S4E02</t>
        </is>
      </c>
      <c r="C50" t="inlineStr">
        <is>
          <t>04/14/2026</t>
        </is>
      </c>
      <c r="D50" s="4">
        <f>HYPERLINK("https://www.youtube.com/watch?v=6kQxIMwsbKU","https://www.youtube.com/watch?v=6kQxIMwsbKU")</f>
      </c>
      <c r="E50" s="2">
        <v>43</v>
      </c>
      <c r="F50" s="2">
        <v>2</v>
      </c>
      <c r="G50" s="2">
        <v>0</v>
      </c>
      <c r="H50" s="3">
        <v>0.0465</v>
      </c>
      <c r="I50" t="inlineStr">
        <is>
          <t>No</t>
        </is>
      </c>
    </row>
    <row r="51">
      <c r="A51" t="inlineStr">
        <is>
          <t>MY91MQwmI1A</t>
        </is>
      </c>
      <c r="B51" t="inlineStr">
        <is>
          <t>語言一旦失去，不只是工具的消失，還會在親子心裡的溝通上，再多拉開一層距離 #shorts</t>
        </is>
      </c>
      <c r="C51" t="inlineStr">
        <is>
          <t>04/11/2026</t>
        </is>
      </c>
      <c r="D51" s="4">
        <f>HYPERLINK("https://www.youtube.com/watch?v=MY91MQwmI1A","https://www.youtube.com/watch?v=MY91MQwmI1A")</f>
      </c>
      <c r="E51" s="2">
        <v>89</v>
      </c>
      <c r="F51" s="2">
        <v>0</v>
      </c>
      <c r="G51" s="2">
        <v>0</v>
      </c>
      <c r="H51" s="3">
        <v>0</v>
      </c>
      <c r="I51" t="inlineStr">
        <is>
          <t>Yes</t>
        </is>
      </c>
    </row>
    <row r="52">
      <c r="A52" t="inlineStr">
        <is>
          <t>dqYgH8is3JQ</t>
        </is>
      </c>
      <c r="B52" t="inlineStr">
        <is>
          <t>041｜【樂樂 Talk】不是缺資源，而是缺陪伴——海外家庭為什麼需要訂閱電子報？｜S3E12</t>
        </is>
      </c>
      <c r="C52" t="inlineStr">
        <is>
          <t>04/07/2026</t>
        </is>
      </c>
      <c r="D52" s="4">
        <f>HYPERLINK("https://www.youtube.com/watch?v=dqYgH8is3JQ","https://www.youtube.com/watch?v=dqYgH8is3JQ")</f>
      </c>
      <c r="E52" s="2">
        <v>13</v>
      </c>
      <c r="F52" s="2">
        <v>0</v>
      </c>
      <c r="G52" s="2">
        <v>0</v>
      </c>
      <c r="H52" s="3">
        <v>0</v>
      </c>
      <c r="I52" t="inlineStr">
        <is>
          <t>No</t>
        </is>
      </c>
    </row>
    <row r="53">
      <c r="A53" t="inlineStr">
        <is>
          <t>G8NUQP4Kf84</t>
        </is>
      </c>
      <c r="B53" t="inlineStr">
        <is>
          <t>了解自己的母語文化 讓孩子對自己的身份感到驕傲 #shorts</t>
        </is>
      </c>
      <c r="C53" t="inlineStr">
        <is>
          <t>04/04/2026</t>
        </is>
      </c>
      <c r="D53" s="4">
        <f>HYPERLINK("https://www.youtube.com/watch?v=G8NUQP4Kf84","https://www.youtube.com/watch?v=G8NUQP4Kf84")</f>
      </c>
      <c r="E53" s="2">
        <v>102</v>
      </c>
      <c r="F53" s="2">
        <v>0</v>
      </c>
      <c r="G53" s="2">
        <v>0</v>
      </c>
      <c r="H53" s="3">
        <v>0</v>
      </c>
      <c r="I53" t="inlineStr">
        <is>
          <t>Yes</t>
        </is>
      </c>
    </row>
    <row r="54">
      <c r="A54" t="inlineStr">
        <is>
          <t>QhEIUvMJso8</t>
        </is>
      </c>
      <c r="B54" t="inlineStr">
        <is>
          <t>040｜【樂樂 Talk】孩子聽得懂中文卻不說？比起教導，他們更需要的是「安全感」</t>
        </is>
      </c>
      <c r="C54" t="inlineStr">
        <is>
          <t>03/31/2026</t>
        </is>
      </c>
      <c r="D54" s="4">
        <f>HYPERLINK("https://www.youtube.com/watch?v=QhEIUvMJso8","https://www.youtube.com/watch?v=QhEIUvMJso8")</f>
      </c>
      <c r="E54" s="2">
        <v>23</v>
      </c>
      <c r="F54" s="2">
        <v>1</v>
      </c>
      <c r="G54" s="2">
        <v>0</v>
      </c>
      <c r="H54" s="3">
        <v>0.0435</v>
      </c>
      <c r="I54" t="inlineStr">
        <is>
          <t>No</t>
        </is>
      </c>
    </row>
    <row r="55">
      <c r="A55" t="inlineStr">
        <is>
          <t>aAzQfQmMr30</t>
        </is>
      </c>
      <c r="B55" t="inlineStr">
        <is>
          <t>語言不是天賦，而是輸入＋陪伴的奇蹟。❤️ #shorts</t>
        </is>
      </c>
      <c r="C55" t="inlineStr">
        <is>
          <t>03/28/2026</t>
        </is>
      </c>
      <c r="D55" s="4">
        <f>HYPERLINK("https://www.youtube.com/watch?v=aAzQfQmMr30","https://www.youtube.com/watch?v=aAzQfQmMr30")</f>
      </c>
      <c r="E55" s="2">
        <v>4</v>
      </c>
      <c r="F55" s="2">
        <v>0</v>
      </c>
      <c r="G55" s="2">
        <v>0</v>
      </c>
      <c r="H55" s="3">
        <v>0</v>
      </c>
      <c r="I55" t="inlineStr">
        <is>
          <t>Yes</t>
        </is>
      </c>
    </row>
    <row r="56">
      <c r="A56" t="inlineStr">
        <is>
          <t>cbWBjTNHMlg</t>
        </is>
      </c>
      <c r="B56" t="inlineStr">
        <is>
          <t>交給老師教中文，你就會錯過這些可愛又珍貴的時刻 #shorts</t>
        </is>
      </c>
      <c r="C56" t="inlineStr">
        <is>
          <t>03/21/2026</t>
        </is>
      </c>
      <c r="D56" s="4">
        <f>HYPERLINK("https://www.youtube.com/watch?v=cbWBjTNHMlg","https://www.youtube.com/watch?v=cbWBjTNHMlg")</f>
      </c>
      <c r="E56" s="2">
        <v>579</v>
      </c>
      <c r="F56" s="2">
        <v>4</v>
      </c>
      <c r="G56" s="2">
        <v>0</v>
      </c>
      <c r="H56" s="3">
        <v>0.0069</v>
      </c>
      <c r="I56" t="inlineStr">
        <is>
          <t>Yes</t>
        </is>
      </c>
    </row>
    <row r="57">
      <c r="A57" t="inlineStr">
        <is>
          <t>RmtECKEzgdk</t>
        </is>
      </c>
      <c r="B57" t="inlineStr">
        <is>
          <t>困難很多時候不是實際的，而是心理上的 #shorts</t>
        </is>
      </c>
      <c r="C57" t="inlineStr">
        <is>
          <t>03/14/2026</t>
        </is>
      </c>
      <c r="D57" s="4">
        <f>HYPERLINK("https://www.youtube.com/watch?v=RmtECKEzgdk","https://www.youtube.com/watch?v=RmtECKEzgdk")</f>
      </c>
      <c r="E57" s="2">
        <v>40</v>
      </c>
      <c r="F57" s="2">
        <v>1</v>
      </c>
      <c r="G57" s="2">
        <v>0</v>
      </c>
      <c r="H57" s="3">
        <v>0.025</v>
      </c>
      <c r="I57" t="inlineStr">
        <is>
          <t>Yes</t>
        </is>
      </c>
    </row>
    <row r="58">
      <c r="A58" t="inlineStr">
        <is>
          <t>RRiEw9GirF8</t>
        </is>
      </c>
      <c r="B58" t="inlineStr">
        <is>
          <t>📖 閱讀識字不一樣，孩子自己感興趣、自己想重複看的故事 #shorts</t>
        </is>
      </c>
      <c r="C58" t="inlineStr">
        <is>
          <t>03/07/2026</t>
        </is>
      </c>
      <c r="D58" s="4">
        <f>HYPERLINK("https://www.youtube.com/watch?v=RRiEw9GirF8","https://www.youtube.com/watch?v=RRiEw9GirF8")</f>
      </c>
      <c r="E58" s="2">
        <v>94</v>
      </c>
      <c r="F58" s="2">
        <v>0</v>
      </c>
      <c r="G58" s="2">
        <v>0</v>
      </c>
      <c r="H58" s="3">
        <v>0</v>
      </c>
      <c r="I58" t="inlineStr">
        <is>
          <t>Yes</t>
        </is>
      </c>
    </row>
    <row r="59">
      <c r="A59" t="inlineStr">
        <is>
          <t>k-Gvh-W3448</t>
        </is>
      </c>
      <c r="B59" t="inlineStr">
        <is>
          <t>閱讀能夠幫助孩子增加中文詞彙 #shorts</t>
        </is>
      </c>
      <c r="C59" t="inlineStr">
        <is>
          <t>02/28/2026</t>
        </is>
      </c>
      <c r="D59" s="4">
        <f>HYPERLINK("https://www.youtube.com/watch?v=k-Gvh-W3448","https://www.youtube.com/watch?v=k-Gvh-W3448")</f>
      </c>
      <c r="E59" s="2">
        <v>225</v>
      </c>
      <c r="F59" s="2">
        <v>2</v>
      </c>
      <c r="G59" s="2">
        <v>0</v>
      </c>
      <c r="H59" s="3">
        <v>0.0089</v>
      </c>
      <c r="I59" t="inlineStr">
        <is>
          <t>Yes</t>
        </is>
      </c>
    </row>
    <row r="60">
      <c r="A60" t="inlineStr">
        <is>
          <t>DNlMgiRfvVI</t>
        </is>
      </c>
      <c r="B60" t="inlineStr">
        <is>
          <t>When it comes to learning Chinese, faster isn’t always better.</t>
        </is>
      </c>
      <c r="C60" t="inlineStr">
        <is>
          <t>02/26/2026</t>
        </is>
      </c>
      <c r="D60" s="4">
        <f>HYPERLINK("https://www.youtube.com/watch?v=DNlMgiRfvVI","https://www.youtube.com/watch?v=DNlMgiRfvVI")</f>
      </c>
      <c r="E60" s="2">
        <v>86</v>
      </c>
      <c r="F60" s="2">
        <v>0</v>
      </c>
      <c r="G60" s="2">
        <v>0</v>
      </c>
      <c r="H60" s="3">
        <v>0</v>
      </c>
      <c r="I60" t="inlineStr">
        <is>
          <t>No</t>
        </is>
      </c>
    </row>
    <row r="61">
      <c r="A61" t="inlineStr">
        <is>
          <t>tATGsjDBIho</t>
        </is>
      </c>
      <c r="B61" t="inlineStr">
        <is>
          <t>親子共讀不是功課，而是點燃孩子 內在動力 的機會 🚗 #shorts</t>
        </is>
      </c>
      <c r="C61" t="inlineStr">
        <is>
          <t>02/21/2026</t>
        </is>
      </c>
      <c r="D61" s="4">
        <f>HYPERLINK("https://www.youtube.com/watch?v=tATGsjDBIho","https://www.youtube.com/watch?v=tATGsjDBIho")</f>
      </c>
      <c r="E61" s="2">
        <v>272</v>
      </c>
      <c r="F61" s="2">
        <v>0</v>
      </c>
      <c r="G61" s="2">
        <v>0</v>
      </c>
      <c r="H61" s="3">
        <v>0</v>
      </c>
      <c r="I61" t="inlineStr">
        <is>
          <t>Yes</t>
        </is>
      </c>
    </row>
    <row r="62">
      <c r="A62" t="inlineStr">
        <is>
          <t>156lKiWLNpc</t>
        </is>
      </c>
      <c r="B62" t="inlineStr">
        <is>
          <t>You don’t have to be a teacher to raise a child who speaks Chinese. 📚✨</t>
        </is>
      </c>
      <c r="C62" t="inlineStr">
        <is>
          <t>02/19/2026</t>
        </is>
      </c>
      <c r="D62" s="4">
        <f>HYPERLINK("https://www.youtube.com/watch?v=156lKiWLNpc","https://www.youtube.com/watch?v=156lKiWLNpc")</f>
      </c>
      <c r="E62" s="2">
        <v>350</v>
      </c>
      <c r="F62" s="2">
        <v>2</v>
      </c>
      <c r="G62" s="2">
        <v>0</v>
      </c>
      <c r="H62" s="3">
        <v>0.0057</v>
      </c>
      <c r="I62" t="inlineStr">
        <is>
          <t>No</t>
        </is>
      </c>
    </row>
    <row r="63">
      <c r="A63" t="inlineStr">
        <is>
          <t>rsikARYbt_k</t>
        </is>
      </c>
      <c r="B63" t="inlineStr">
        <is>
          <t>Did you grow up celebrating Lunar New Year…</t>
        </is>
      </c>
      <c r="C63" t="inlineStr">
        <is>
          <t>02/16/2026</t>
        </is>
      </c>
      <c r="D63" s="4">
        <f>HYPERLINK("https://www.youtube.com/watch?v=rsikARYbt_k","https://www.youtube.com/watch?v=rsikARYbt_k")</f>
      </c>
      <c r="E63" s="2">
        <v>441</v>
      </c>
      <c r="F63" s="2">
        <v>2</v>
      </c>
      <c r="G63" s="2">
        <v>0</v>
      </c>
      <c r="H63" s="3">
        <v>0.0045</v>
      </c>
      <c r="I63" t="inlineStr">
        <is>
          <t>No</t>
        </is>
      </c>
    </row>
    <row r="64">
      <c r="A64" t="inlineStr">
        <is>
          <t>fqd1rkZOBXI</t>
        </is>
      </c>
      <c r="B64" t="inlineStr">
        <is>
          <t>Lunar New Year overseas can feel quiet.</t>
        </is>
      </c>
      <c r="C64" t="inlineStr">
        <is>
          <t>02/14/2026</t>
        </is>
      </c>
      <c r="D64" s="4">
        <f>HYPERLINK("https://www.youtube.com/watch?v=fqd1rkZOBXI","https://www.youtube.com/watch?v=fqd1rkZOBXI")</f>
      </c>
      <c r="E64" s="2">
        <v>8</v>
      </c>
      <c r="F64" s="2">
        <v>0</v>
      </c>
      <c r="G64" s="2">
        <v>0</v>
      </c>
      <c r="H64" s="3">
        <v>0</v>
      </c>
      <c r="I64" t="inlineStr">
        <is>
          <t>No</t>
        </is>
      </c>
    </row>
    <row r="65">
      <c r="A65" t="inlineStr">
        <is>
          <t>4KwbOuflvnM</t>
        </is>
      </c>
      <c r="B65" t="inlineStr">
        <is>
          <t>無壓力無目的只因為喜歡  #shorts</t>
        </is>
      </c>
      <c r="C65" t="inlineStr">
        <is>
          <t>02/14/2026</t>
        </is>
      </c>
      <c r="D65" s="4">
        <f>HYPERLINK("https://www.youtube.com/watch?v=4KwbOuflvnM","https://www.youtube.com/watch?v=4KwbOuflvnM")</f>
      </c>
      <c r="E65" s="2">
        <v>218</v>
      </c>
      <c r="F65" s="2">
        <v>2</v>
      </c>
      <c r="G65" s="2">
        <v>0</v>
      </c>
      <c r="H65" s="3">
        <v>0.0092</v>
      </c>
      <c r="I65" t="inlineStr">
        <is>
          <t>Yes</t>
        </is>
      </c>
    </row>
    <row r="66">
      <c r="A66" t="inlineStr">
        <is>
          <t>YOQ_YMDduG4</t>
        </is>
      </c>
      <c r="B66" t="inlineStr">
        <is>
          <t>語言不是命令而是互動 #shorts</t>
        </is>
      </c>
      <c r="C66" t="inlineStr">
        <is>
          <t>02/12/2026</t>
        </is>
      </c>
      <c r="D66" s="4">
        <f>HYPERLINK("https://www.youtube.com/watch?v=YOQ_YMDduG4","https://www.youtube.com/watch?v=YOQ_YMDduG4")</f>
      </c>
      <c r="E66" s="2">
        <v>280</v>
      </c>
      <c r="F66" s="2">
        <v>1</v>
      </c>
      <c r="G66" s="2">
        <v>0</v>
      </c>
      <c r="H66" s="3">
        <v>0.0036</v>
      </c>
      <c r="I66" t="inlineStr">
        <is>
          <t>Yes</t>
        </is>
      </c>
    </row>
    <row r="67">
      <c r="A67" t="inlineStr">
        <is>
          <t>COr7Y8WQolA</t>
        </is>
      </c>
      <c r="B67" t="inlineStr">
        <is>
          <t>我的母語是什麼 #shorts</t>
        </is>
      </c>
      <c r="C67" t="inlineStr">
        <is>
          <t>02/07/2026</t>
        </is>
      </c>
      <c r="D67" s="4">
        <f>HYPERLINK("https://www.youtube.com/watch?v=COr7Y8WQolA","https://www.youtube.com/watch?v=COr7Y8WQolA")</f>
      </c>
      <c r="E67" s="2">
        <v>1121</v>
      </c>
      <c r="F67" s="2">
        <v>8</v>
      </c>
      <c r="G67" s="2">
        <v>5</v>
      </c>
      <c r="H67" s="3">
        <v>0.0116</v>
      </c>
      <c r="I67" t="inlineStr">
        <is>
          <t>Yes</t>
        </is>
      </c>
    </row>
    <row r="68">
      <c r="A68" t="inlineStr">
        <is>
          <t>v-UeHLv5PPE</t>
        </is>
      </c>
      <c r="B68" t="inlineStr">
        <is>
          <t>It’s not that kids *can’t* speak Chinese—</t>
        </is>
      </c>
      <c r="C68" t="inlineStr">
        <is>
          <t>02/05/2026</t>
        </is>
      </c>
      <c r="D68" s="4">
        <f>HYPERLINK("https://www.youtube.com/watch?v=v-UeHLv5PPE","https://www.youtube.com/watch?v=v-UeHLv5PPE")</f>
      </c>
      <c r="E68" s="2">
        <v>703</v>
      </c>
      <c r="F68" s="2">
        <v>3</v>
      </c>
      <c r="G68" s="2">
        <v>0</v>
      </c>
      <c r="H68" s="3">
        <v>0.0043</v>
      </c>
      <c r="I68" t="inlineStr">
        <is>
          <t>No</t>
        </is>
      </c>
    </row>
    <row r="69">
      <c r="A69" t="inlineStr">
        <is>
          <t>0kqFdl85Ovw</t>
        </is>
      </c>
      <c r="B69" t="inlineStr">
        <is>
          <t>真正重要的不是字數而是他能不能讀懂故事 #shorts</t>
        </is>
      </c>
      <c r="C69" t="inlineStr">
        <is>
          <t>01/31/2026</t>
        </is>
      </c>
      <c r="D69" s="4">
        <f>HYPERLINK("https://www.youtube.com/watch?v=0kqFdl85Ovw","https://www.youtube.com/watch?v=0kqFdl85Ovw")</f>
      </c>
      <c r="E69" s="2">
        <v>980</v>
      </c>
      <c r="F69" s="2">
        <v>5</v>
      </c>
      <c r="G69" s="2">
        <v>0</v>
      </c>
      <c r="H69" s="3">
        <v>0.0051</v>
      </c>
      <c r="I69" t="inlineStr">
        <is>
          <t>Yes</t>
        </is>
      </c>
    </row>
    <row r="70">
      <c r="A70" t="inlineStr">
        <is>
          <t>5JMh-u137xw</t>
        </is>
      </c>
      <c r="B70" t="inlineStr">
        <is>
          <t>Kids DON'T learn characters before they can read.</t>
        </is>
      </c>
      <c r="C70" t="inlineStr">
        <is>
          <t>01/29/2026</t>
        </is>
      </c>
      <c r="D70" s="4">
        <f>HYPERLINK("https://www.youtube.com/watch?v=5JMh-u137xw","https://www.youtube.com/watch?v=5JMh-u137xw")</f>
      </c>
      <c r="E70" s="2">
        <v>72</v>
      </c>
      <c r="F70" s="2">
        <v>0</v>
      </c>
      <c r="G70" s="2">
        <v>0</v>
      </c>
      <c r="H70" s="3">
        <v>0</v>
      </c>
      <c r="I70" t="inlineStr">
        <is>
          <t>No</t>
        </is>
      </c>
    </row>
    <row r="71">
      <c r="A71" t="inlineStr">
        <is>
          <t>uXXsvJp9qVY</t>
        </is>
      </c>
      <c r="B71" t="inlineStr">
        <is>
          <t>中文不是一夕之功而是每天一點一滴的累積 #shorts</t>
        </is>
      </c>
      <c r="C71" t="inlineStr">
        <is>
          <t>01/24/2026</t>
        </is>
      </c>
      <c r="D71" s="4">
        <f>HYPERLINK("https://www.youtube.com/watch?v=uXXsvJp9qVY","https://www.youtube.com/watch?v=uXXsvJp9qVY")</f>
      </c>
      <c r="E71" s="2">
        <v>181</v>
      </c>
      <c r="F71" s="2">
        <v>0</v>
      </c>
      <c r="G71" s="2">
        <v>0</v>
      </c>
      <c r="H71" s="3">
        <v>0</v>
      </c>
      <c r="I71" t="inlineStr">
        <is>
          <t>Yes</t>
        </is>
      </c>
    </row>
    <row r="72">
      <c r="A72" t="inlineStr">
        <is>
          <t>Oi1GS6VapWE</t>
        </is>
      </c>
      <c r="B72" t="inlineStr">
        <is>
          <t>Iris別糾結孩子有沒有指讀讀對聲音有時候他眼睛已經懂了只是嘴巴還跟不上 #shorts</t>
        </is>
      </c>
      <c r="C72" t="inlineStr">
        <is>
          <t>01/17/2026</t>
        </is>
      </c>
      <c r="D72" s="4">
        <f>HYPERLINK("https://www.youtube.com/watch?v=Oi1GS6VapWE","https://www.youtube.com/watch?v=Oi1GS6VapWE")</f>
      </c>
      <c r="E72" s="2">
        <v>128</v>
      </c>
      <c r="F72" s="2">
        <v>0</v>
      </c>
      <c r="G72" s="2">
        <v>0</v>
      </c>
      <c r="H72" s="3">
        <v>0</v>
      </c>
      <c r="I72" t="inlineStr">
        <is>
          <t>Yes</t>
        </is>
      </c>
    </row>
    <row r="73">
      <c r="A73" t="inlineStr">
        <is>
          <t>tEPnXhdLNJE</t>
        </is>
      </c>
      <c r="B73" t="inlineStr">
        <is>
          <t>Respecting their pace isn’t giving up</t>
        </is>
      </c>
      <c r="C73" t="inlineStr">
        <is>
          <t>01/15/2026</t>
        </is>
      </c>
      <c r="D73" s="4">
        <f>HYPERLINK("https://www.youtube.com/watch?v=tEPnXhdLNJE","https://www.youtube.com/watch?v=tEPnXhdLNJE")</f>
      </c>
      <c r="E73" s="2">
        <v>105</v>
      </c>
      <c r="F73" s="2">
        <v>0</v>
      </c>
      <c r="G73" s="2">
        <v>0</v>
      </c>
      <c r="H73" s="3">
        <v>0</v>
      </c>
      <c r="I73" t="inlineStr">
        <is>
          <t>No</t>
        </is>
      </c>
    </row>
    <row r="74">
      <c r="A74" t="inlineStr">
        <is>
          <t>Xb8wSpTmcOU</t>
        </is>
      </c>
      <c r="B74" t="inlineStr">
        <is>
          <t>提供孩子學習環境, 給孩子成長的空間</t>
        </is>
      </c>
      <c r="C74" t="inlineStr">
        <is>
          <t>01/12/2026</t>
        </is>
      </c>
      <c r="D74" s="4">
        <f>HYPERLINK("https://www.youtube.com/watch?v=Xb8wSpTmcOU","https://www.youtube.com/watch?v=Xb8wSpTmcOU")</f>
      </c>
      <c r="E74" s="2">
        <v>81</v>
      </c>
      <c r="F74" s="2">
        <v>0</v>
      </c>
      <c r="G74" s="2">
        <v>0</v>
      </c>
      <c r="H74" s="3">
        <v>0</v>
      </c>
      <c r="I74" t="inlineStr">
        <is>
          <t>No</t>
        </is>
      </c>
    </row>
    <row r="75">
      <c r="A75" t="inlineStr">
        <is>
          <t>fMv8LZmuG8Y</t>
        </is>
      </c>
      <c r="B75" t="inlineStr">
        <is>
          <t>樂樂書的編排有很多細節能讓孩子一讀再讀, 每次都有新發現</t>
        </is>
      </c>
      <c r="C75" t="inlineStr">
        <is>
          <t>01/12/2026</t>
        </is>
      </c>
      <c r="D75" s="4">
        <f>HYPERLINK("https://www.youtube.com/watch?v=fMv8LZmuG8Y","https://www.youtube.com/watch?v=fMv8LZmuG8Y")</f>
      </c>
      <c r="E75" s="2">
        <v>12</v>
      </c>
      <c r="F75" s="2">
        <v>0</v>
      </c>
      <c r="G75" s="2">
        <v>0</v>
      </c>
      <c r="H75" s="3">
        <v>0</v>
      </c>
      <c r="I75" t="inlineStr">
        <is>
          <t>No</t>
        </is>
      </c>
    </row>
    <row r="76">
      <c r="A76" t="inlineStr">
        <is>
          <t>FEVbfZa_8bo</t>
        </is>
      </c>
      <c r="B76" t="inlineStr">
        <is>
          <t>母語是連結父母與孩子內心的一道橋</t>
        </is>
      </c>
      <c r="C76" t="inlineStr">
        <is>
          <t>01/12/2026</t>
        </is>
      </c>
      <c r="D76" s="4">
        <f>HYPERLINK("https://www.youtube.com/watch?v=FEVbfZa_8bo","https://www.youtube.com/watch?v=FEVbfZa_8bo")</f>
      </c>
      <c r="E76" s="2">
        <v>52</v>
      </c>
      <c r="F76" s="2">
        <v>0</v>
      </c>
      <c r="G76" s="2">
        <v>0</v>
      </c>
      <c r="H76" s="3">
        <v>0</v>
      </c>
      <c r="I76" t="inlineStr">
        <is>
          <t>No</t>
        </is>
      </c>
    </row>
    <row r="77">
      <c r="A77" t="inlineStr">
        <is>
          <t>QzYo0YtN424</t>
        </is>
      </c>
      <c r="B77" t="inlineStr">
        <is>
          <t>用故事書有趣的內容來驅使孩子主動閱讀</t>
        </is>
      </c>
      <c r="C77" t="inlineStr">
        <is>
          <t>01/12/2026</t>
        </is>
      </c>
      <c r="D77" s="4">
        <f>HYPERLINK("https://www.youtube.com/watch?v=QzYo0YtN424","https://www.youtube.com/watch?v=QzYo0YtN424")</f>
      </c>
      <c r="E77" s="2">
        <v>102</v>
      </c>
      <c r="F77" s="2">
        <v>1</v>
      </c>
      <c r="G77" s="2">
        <v>0</v>
      </c>
      <c r="H77" s="3">
        <v>0.0098</v>
      </c>
      <c r="I77" t="inlineStr">
        <is>
          <t>No</t>
        </is>
      </c>
    </row>
    <row r="78">
      <c r="A78" t="inlineStr">
        <is>
          <t>4iFdEAlDjsg</t>
        </is>
      </c>
      <c r="B78" t="inlineStr">
        <is>
          <t>樂樂書裡紅59 媽媽的故事連結家長與孩子的溫馨回憶</t>
        </is>
      </c>
      <c r="C78" t="inlineStr">
        <is>
          <t>01/12/2026</t>
        </is>
      </c>
      <c r="D78" s="4">
        <f>HYPERLINK("https://www.youtube.com/watch?v=4iFdEAlDjsg","https://www.youtube.com/watch?v=4iFdEAlDjsg")</f>
      </c>
      <c r="E78" s="2">
        <v>16</v>
      </c>
      <c r="F78" s="2">
        <v>0</v>
      </c>
      <c r="G78" s="2">
        <v>0</v>
      </c>
      <c r="H78" s="3">
        <v>0</v>
      </c>
      <c r="I78" t="inlineStr">
        <is>
          <t>No</t>
        </is>
      </c>
    </row>
    <row r="79">
      <c r="A79" t="inlineStr">
        <is>
          <t>R5EPlLtmDFU</t>
        </is>
      </c>
      <c r="B79" t="inlineStr">
        <is>
          <t>從小開始培養閱讀習慣, 養成孩子學習的內趨力</t>
        </is>
      </c>
      <c r="C79" t="inlineStr">
        <is>
          <t>01/12/2026</t>
        </is>
      </c>
      <c r="D79" s="4">
        <f>HYPERLINK("https://www.youtube.com/watch?v=R5EPlLtmDFU","https://www.youtube.com/watch?v=R5EPlLtmDFU")</f>
      </c>
      <c r="E79" s="2">
        <v>4</v>
      </c>
      <c r="F79" s="2">
        <v>0</v>
      </c>
      <c r="G79" s="2">
        <v>0</v>
      </c>
      <c r="H79" s="3">
        <v>0</v>
      </c>
      <c r="I79" t="inlineStr">
        <is>
          <t>No</t>
        </is>
      </c>
    </row>
    <row r="80">
      <c r="A80" t="inlineStr">
        <is>
          <t>Ho-BKFw-4TU</t>
        </is>
      </c>
      <c r="B80" t="inlineStr">
        <is>
          <t>Peggy 學習母語能幫助孩子建立身份認同 #shorts</t>
        </is>
      </c>
      <c r="C80" t="inlineStr">
        <is>
          <t>01/10/2026</t>
        </is>
      </c>
      <c r="D80" s="4">
        <f>HYPERLINK("https://www.youtube.com/watch?v=Ho-BKFw-4TU","https://www.youtube.com/watch?v=Ho-BKFw-4TU")</f>
      </c>
      <c r="E80" s="2">
        <v>155</v>
      </c>
      <c r="F80" s="2">
        <v>0</v>
      </c>
      <c r="G80" s="2">
        <v>0</v>
      </c>
      <c r="H80" s="3">
        <v>0</v>
      </c>
      <c r="I80" t="inlineStr">
        <is>
          <t>Yes</t>
        </is>
      </c>
    </row>
    <row r="81">
      <c r="A81" t="inlineStr">
        <is>
          <t>lmCPb9D-8ew</t>
        </is>
      </c>
      <c r="B81" t="inlineStr">
        <is>
          <t>Do kids in United States really need to learn Chinese?</t>
        </is>
      </c>
      <c r="C81" t="inlineStr">
        <is>
          <t>01/08/2026</t>
        </is>
      </c>
      <c r="D81" s="4">
        <f>HYPERLINK("https://www.youtube.com/watch?v=lmCPb9D-8ew","https://www.youtube.com/watch?v=lmCPb9D-8ew")</f>
      </c>
      <c r="E81" s="2">
        <v>680</v>
      </c>
      <c r="F81" s="2">
        <v>5</v>
      </c>
      <c r="G81" s="2">
        <v>0</v>
      </c>
      <c r="H81" s="3">
        <v>0.0074</v>
      </c>
      <c r="I81" t="inlineStr">
        <is>
          <t>No</t>
        </is>
      </c>
    </row>
    <row r="82">
      <c r="A82" t="inlineStr">
        <is>
          <t>emScxUjYlR8</t>
        </is>
      </c>
      <c r="B82" t="inlineStr">
        <is>
          <t>A Chinese Start That Lasts: 24 Solar Terms Coloring Calendar | 能走得久的中文起點</t>
        </is>
      </c>
      <c r="C82" t="inlineStr">
        <is>
          <t>01/03/2026</t>
        </is>
      </c>
      <c r="D82" s="4">
        <f>HYPERLINK("https://www.youtube.com/watch?v=emScxUjYlR8","https://www.youtube.com/watch?v=emScxUjYlR8")</f>
      </c>
      <c r="E82" s="2">
        <v>66</v>
      </c>
      <c r="F82" s="2">
        <v>0</v>
      </c>
      <c r="G82" s="2">
        <v>0</v>
      </c>
      <c r="H82" s="3">
        <v>0</v>
      </c>
      <c r="I82" t="inlineStr">
        <is>
          <t>No</t>
        </is>
      </c>
    </row>
    <row r="83">
      <c r="A83" t="inlineStr">
        <is>
          <t>2YXUzg9R--c</t>
        </is>
      </c>
      <c r="B83" t="inlineStr">
        <is>
          <t>如何在海外創造必須用中文的環境 #shorts</t>
        </is>
      </c>
      <c r="C83" t="inlineStr">
        <is>
          <t>01/03/2026</t>
        </is>
      </c>
      <c r="D83" s="4">
        <f>HYPERLINK("https://www.youtube.com/watch?v=2YXUzg9R--c","https://www.youtube.com/watch?v=2YXUzg9R--c")</f>
      </c>
      <c r="E83" s="2">
        <v>1111</v>
      </c>
      <c r="F83" s="2">
        <v>3</v>
      </c>
      <c r="G83" s="2">
        <v>0</v>
      </c>
      <c r="H83" s="3">
        <v>0.0027</v>
      </c>
      <c r="I83" t="inlineStr">
        <is>
          <t>Yes</t>
        </is>
      </c>
    </row>
    <row r="84">
      <c r="A84" t="inlineStr">
        <is>
          <t>8RA7VSaicpg</t>
        </is>
      </c>
      <c r="B84" t="inlineStr">
        <is>
          <t>039｜【樂樂 Talk】我不是讀書的料——Ting 如何從不愛閱讀，走到書蟲一家的真實故事｜S1E16</t>
        </is>
      </c>
      <c r="C84" t="inlineStr">
        <is>
          <t>12/30/2025</t>
        </is>
      </c>
      <c r="D84" s="4">
        <f>HYPERLINK("https://www.youtube.com/watch?v=8RA7VSaicpg","https://www.youtube.com/watch?v=8RA7VSaicpg")</f>
      </c>
      <c r="E84" s="2">
        <v>51</v>
      </c>
      <c r="F84" s="2">
        <v>1</v>
      </c>
      <c r="G84" s="2">
        <v>0</v>
      </c>
      <c r="H84" s="3">
        <v>0.0196</v>
      </c>
      <c r="I84" t="inlineStr">
        <is>
          <t>No</t>
        </is>
      </c>
    </row>
    <row r="85">
      <c r="A85" t="inlineStr">
        <is>
          <t>MPw_QotGKng</t>
        </is>
      </c>
      <c r="B85" t="inlineStr">
        <is>
          <t>力玄華語對我的家族其實是外來語 #shorts</t>
        </is>
      </c>
      <c r="C85" t="inlineStr">
        <is>
          <t>12/27/2025</t>
        </is>
      </c>
      <c r="D85" s="4">
        <f>HYPERLINK("https://www.youtube.com/watch?v=MPw_QotGKng","https://www.youtube.com/watch?v=MPw_QotGKng")</f>
      </c>
      <c r="E85" s="2">
        <v>1186</v>
      </c>
      <c r="F85" s="2">
        <v>12</v>
      </c>
      <c r="G85" s="2">
        <v>3</v>
      </c>
      <c r="H85" s="3">
        <v>0.0126</v>
      </c>
      <c r="I85" t="inlineStr">
        <is>
          <t>Yes</t>
        </is>
      </c>
    </row>
    <row r="86">
      <c r="A86" t="inlineStr">
        <is>
          <t>t7ZQGroTrjQ</t>
        </is>
      </c>
      <c r="B86" t="inlineStr">
        <is>
          <t>038｜【樂樂 Talk】搬去英國前，她把整套樂樂書一起帶走——Carmen 談在沒有中文語境的異國，如何為孩子打造穩定的閱讀環境｜S1E15</t>
        </is>
      </c>
      <c r="C86" t="inlineStr">
        <is>
          <t>12/23/2025</t>
        </is>
      </c>
      <c r="D86" s="4">
        <f>HYPERLINK("https://www.youtube.com/watch?v=t7ZQGroTrjQ","https://www.youtube.com/watch?v=t7ZQGroTrjQ")</f>
      </c>
      <c r="E86" s="2">
        <v>19</v>
      </c>
      <c r="F86" s="2">
        <v>0</v>
      </c>
      <c r="G86" s="2">
        <v>0</v>
      </c>
      <c r="H86" s="3">
        <v>0</v>
      </c>
      <c r="I86" t="inlineStr">
        <is>
          <t>No</t>
        </is>
      </c>
    </row>
    <row r="87">
      <c r="A87" t="inlineStr">
        <is>
          <t>tJ1sxf6SZlM</t>
        </is>
      </c>
      <c r="B87" t="inlineStr">
        <is>
          <t>ichelle's Kids Learn Cantonese and Mandarin Together | Michelle 的孩子正在同時學廣東話和普通話 #shorts</t>
        </is>
      </c>
      <c r="C87" t="inlineStr">
        <is>
          <t>12/20/2025</t>
        </is>
      </c>
      <c r="D87" s="4">
        <f>HYPERLINK("https://www.youtube.com/watch?v=tJ1sxf6SZlM","https://www.youtube.com/watch?v=tJ1sxf6SZlM")</f>
      </c>
      <c r="E87" s="2">
        <v>403</v>
      </c>
      <c r="F87" s="2">
        <v>4</v>
      </c>
      <c r="G87" s="2">
        <v>0</v>
      </c>
      <c r="H87" s="3">
        <v>0.0099</v>
      </c>
      <c r="I87" t="inlineStr">
        <is>
          <t>Yes</t>
        </is>
      </c>
    </row>
    <row r="88">
      <c r="A88" t="inlineStr">
        <is>
          <t>oyk8-qEYwgo</t>
        </is>
      </c>
      <c r="B88" t="inlineStr">
        <is>
          <t>If your child struggles with Chinese,</t>
        </is>
      </c>
      <c r="C88" t="inlineStr">
        <is>
          <t>12/18/2025</t>
        </is>
      </c>
      <c r="D88" s="4">
        <f>HYPERLINK("https://www.youtube.com/watch?v=oyk8-qEYwgo","https://www.youtube.com/watch?v=oyk8-qEYwgo")</f>
      </c>
      <c r="E88" s="2">
        <v>78</v>
      </c>
      <c r="F88" s="2">
        <v>0</v>
      </c>
      <c r="G88" s="2">
        <v>0</v>
      </c>
      <c r="H88" s="3">
        <v>0</v>
      </c>
      <c r="I88" t="inlineStr">
        <is>
          <t>No</t>
        </is>
      </c>
    </row>
    <row r="89">
      <c r="A89" t="inlineStr">
        <is>
          <t>t7CnGcQd7GY</t>
        </is>
      </c>
      <c r="B89" t="inlineStr">
        <is>
          <t>孩子接觸中文的機會會越來越少久了就失去能力 #shorts</t>
        </is>
      </c>
      <c r="C89" t="inlineStr">
        <is>
          <t>12/13/2025</t>
        </is>
      </c>
      <c r="D89" s="4">
        <f>HYPERLINK("https://www.youtube.com/watch?v=t7CnGcQd7GY","https://www.youtube.com/watch?v=t7CnGcQd7GY")</f>
      </c>
      <c r="E89" s="2">
        <v>116</v>
      </c>
      <c r="F89" s="2">
        <v>0</v>
      </c>
      <c r="G89" s="2">
        <v>0</v>
      </c>
      <c r="H89" s="3">
        <v>0</v>
      </c>
      <c r="I89" t="inlineStr">
        <is>
          <t>Yes</t>
        </is>
      </c>
    </row>
    <row r="90">
      <c r="A90" t="inlineStr">
        <is>
          <t>M7uq5R98q8M</t>
        </is>
      </c>
      <c r="B90" t="inlineStr">
        <is>
          <t>🔴🟡🟢 From zero to loving Chinese—there’s a path!</t>
        </is>
      </c>
      <c r="C90" t="inlineStr">
        <is>
          <t>12/11/2025</t>
        </is>
      </c>
      <c r="D90" s="4">
        <f>HYPERLINK("https://www.youtube.com/watch?v=M7uq5R98q8M","https://www.youtube.com/watch?v=M7uq5R98q8M")</f>
      </c>
      <c r="E90" s="2">
        <v>107</v>
      </c>
      <c r="F90" s="2">
        <v>1</v>
      </c>
      <c r="G90" s="2">
        <v>0</v>
      </c>
      <c r="H90" s="3">
        <v>0.0093</v>
      </c>
      <c r="I90" t="inlineStr">
        <is>
          <t>No</t>
        </is>
      </c>
    </row>
    <row r="91">
      <c r="A91" t="inlineStr">
        <is>
          <t>As_rvS90u0U</t>
        </is>
      </c>
      <c r="B91" t="inlineStr">
        <is>
          <t>沒有一個更好的老師因為父母就是最好的老師  #shorts</t>
        </is>
      </c>
      <c r="C91" t="inlineStr">
        <is>
          <t>12/06/2025</t>
        </is>
      </c>
      <c r="D91" s="4">
        <f>HYPERLINK("https://www.youtube.com/watch?v=As_rvS90u0U","https://www.youtube.com/watch?v=As_rvS90u0U")</f>
      </c>
      <c r="E91" s="2">
        <v>1027</v>
      </c>
      <c r="F91" s="2">
        <v>7</v>
      </c>
      <c r="G91" s="2">
        <v>0</v>
      </c>
      <c r="H91" s="3">
        <v>0.0068</v>
      </c>
      <c r="I91" t="inlineStr">
        <is>
          <t>Yes</t>
        </is>
      </c>
    </row>
    <row r="92">
      <c r="A92" t="inlineStr">
        <is>
          <t>yw_bDT7gSt0</t>
        </is>
      </c>
      <c r="B92" t="inlineStr">
        <is>
          <t>BLACK FRIDAY PRESALE ENDS SOON #shorts</t>
        </is>
      </c>
      <c r="C92" t="inlineStr">
        <is>
          <t>12/02/2025</t>
        </is>
      </c>
      <c r="D92" s="4">
        <f>HYPERLINK("https://www.youtube.com/watch?v=yw_bDT7gSt0","https://www.youtube.com/watch?v=yw_bDT7gSt0")</f>
      </c>
      <c r="E92" s="2">
        <v>50</v>
      </c>
      <c r="F92" s="2">
        <v>0</v>
      </c>
      <c r="G92" s="2">
        <v>0</v>
      </c>
      <c r="H92" s="3">
        <v>0</v>
      </c>
      <c r="I92" t="inlineStr">
        <is>
          <t>Yes</t>
        </is>
      </c>
    </row>
    <row r="93">
      <c r="A93" t="inlineStr">
        <is>
          <t>gOBRGn0_VX4</t>
        </is>
      </c>
      <c r="B93" t="inlineStr">
        <is>
          <t>Black Friday Presale #shorts</t>
        </is>
      </c>
      <c r="C93" t="inlineStr">
        <is>
          <t>11/29/2025</t>
        </is>
      </c>
      <c r="D93" s="4">
        <f>HYPERLINK("https://www.youtube.com/watch?v=gOBRGn0_VX4","https://www.youtube.com/watch?v=gOBRGn0_VX4")</f>
      </c>
      <c r="E93" s="2">
        <v>197</v>
      </c>
      <c r="F93" s="2">
        <v>0</v>
      </c>
      <c r="G93" s="2">
        <v>0</v>
      </c>
      <c r="H93" s="3">
        <v>0</v>
      </c>
      <c r="I93" t="inlineStr">
        <is>
          <t>Yes</t>
        </is>
      </c>
    </row>
    <row r="94">
      <c r="A94" t="inlineStr">
        <is>
          <t>ymINFPXWByw</t>
        </is>
      </c>
      <c r="B94" t="inlineStr">
        <is>
          <t>🎬【聖誕節倒數共讀 開始前先看影片！】</t>
        </is>
      </c>
      <c r="C94" t="inlineStr">
        <is>
          <t>11/29/2025</t>
        </is>
      </c>
      <c r="D94" s="4">
        <f>HYPERLINK("https://www.youtube.com/watch?v=ymINFPXWByw","https://www.youtube.com/watch?v=ymINFPXWByw")</f>
      </c>
      <c r="E94" s="2">
        <v>4</v>
      </c>
      <c r="F94" s="2">
        <v>0</v>
      </c>
      <c r="G94" s="2">
        <v>0</v>
      </c>
      <c r="H94" s="3">
        <v>0</v>
      </c>
      <c r="I94" t="inlineStr">
        <is>
          <t>No</t>
        </is>
      </c>
    </row>
    <row r="95">
      <c r="A95" t="inlineStr">
        <is>
          <t>pFv2fEXPmFI</t>
        </is>
      </c>
      <c r="B95" t="inlineStr">
        <is>
          <t>🎄 聖誕倒數共讀活動即將開始! 會員專屬</t>
        </is>
      </c>
      <c r="C95" t="inlineStr">
        <is>
          <t>11/29/2025</t>
        </is>
      </c>
      <c r="D95" s="4">
        <f>HYPERLINK("https://www.youtube.com/watch?v=pFv2fEXPmFI","https://www.youtube.com/watch?v=pFv2fEXPmFI")</f>
      </c>
      <c r="E95" s="2">
        <v>3</v>
      </c>
      <c r="F95" s="2">
        <v>0</v>
      </c>
      <c r="G95" s="2">
        <v>0</v>
      </c>
      <c r="H95" s="3">
        <v>0</v>
      </c>
      <c r="I95" t="inlineStr">
        <is>
          <t>No</t>
        </is>
      </c>
    </row>
    <row r="96">
      <c r="A96" t="inlineStr">
        <is>
          <t>_UGl6HqIlRA</t>
        </is>
      </c>
      <c r="B96" t="inlineStr">
        <is>
          <t>因為拼音只是拼讀孩子可能會念卻寫不出換到另一個故事又完全卡住 #shorts</t>
        </is>
      </c>
      <c r="C96" t="inlineStr">
        <is>
          <t>11/29/2025</t>
        </is>
      </c>
      <c r="D96" s="4">
        <f>HYPERLINK("https://www.youtube.com/watch?v=_UGl6HqIlRA","https://www.youtube.com/watch?v=_UGl6HqIlRA")</f>
      </c>
      <c r="E96" s="2">
        <v>1134</v>
      </c>
      <c r="F96" s="2">
        <v>7</v>
      </c>
      <c r="G96" s="2">
        <v>0</v>
      </c>
      <c r="H96" s="3">
        <v>0.0062</v>
      </c>
      <c r="I96" t="inlineStr">
        <is>
          <t>Yes</t>
        </is>
      </c>
    </row>
    <row r="97">
      <c r="A97" t="inlineStr">
        <is>
          <t>ojf4YQ_zNt8</t>
        </is>
      </c>
      <c r="B97" t="inlineStr">
        <is>
          <t>The more I forced my kids to learn Chinese, the more they resisted. 💔</t>
        </is>
      </c>
      <c r="C97" t="inlineStr">
        <is>
          <t>11/27/2025</t>
        </is>
      </c>
      <c r="D97" s="4">
        <f>HYPERLINK("https://www.youtube.com/watch?v=ojf4YQ_zNt8","https://www.youtube.com/watch?v=ojf4YQ_zNt8")</f>
      </c>
      <c r="E97" s="2">
        <v>697</v>
      </c>
      <c r="F97" s="2">
        <v>4</v>
      </c>
      <c r="G97" s="2">
        <v>0</v>
      </c>
      <c r="H97" s="3">
        <v>0.0057</v>
      </c>
      <c r="I97" t="inlineStr">
        <is>
          <t>No</t>
        </is>
      </c>
    </row>
    <row r="98">
      <c r="A98" t="inlineStr">
        <is>
          <t>XphPh6ReY8k</t>
        </is>
      </c>
      <c r="B98" t="inlineStr">
        <is>
          <t>035｜【樂樂 Talk】孩子不缺知識，缺的是情感教育——明灑老師談共讀如何補足學校教育給不了的養分（下）｜S2E12</t>
        </is>
      </c>
      <c r="C98" t="inlineStr">
        <is>
          <t>11/25/2025</t>
        </is>
      </c>
      <c r="D98" s="4">
        <f>HYPERLINK("https://www.youtube.com/watch?v=XphPh6ReY8k","https://www.youtube.com/watch?v=XphPh6ReY8k")</f>
      </c>
      <c r="E98" s="2">
        <v>23</v>
      </c>
      <c r="F98" s="2">
        <v>0</v>
      </c>
      <c r="G98" s="2">
        <v>0</v>
      </c>
      <c r="H98" s="3">
        <v>0</v>
      </c>
      <c r="I98" t="inlineStr">
        <is>
          <t>No</t>
        </is>
      </c>
    </row>
    <row r="99">
      <c r="A99" t="inlineStr">
        <is>
          <t>0ixV5Z4wRbU</t>
        </is>
      </c>
      <c r="B99" t="inlineStr">
        <is>
          <t>孩子在遊戲中參與在陪伴中快樂自然走向  獨立閱讀 #shorts</t>
        </is>
      </c>
      <c r="C99" t="inlineStr">
        <is>
          <t>11/22/2025</t>
        </is>
      </c>
      <c r="D99" s="4">
        <f>HYPERLINK("https://www.youtube.com/watch?v=0ixV5Z4wRbU","https://www.youtube.com/watch?v=0ixV5Z4wRbU")</f>
      </c>
      <c r="E99" s="2">
        <v>333</v>
      </c>
      <c r="F99" s="2">
        <v>0</v>
      </c>
      <c r="G99" s="2">
        <v>0</v>
      </c>
      <c r="H99" s="3">
        <v>0</v>
      </c>
      <c r="I99" t="inlineStr">
        <is>
          <t>Yes</t>
        </is>
      </c>
    </row>
    <row r="100">
      <c r="A100" t="inlineStr">
        <is>
          <t>FvesuyU_Cmk</t>
        </is>
      </c>
      <c r="B100" t="inlineStr">
        <is>
          <t>Learning Chinese doesn’t have to be a lonely battle 💡</t>
        </is>
      </c>
      <c r="C100" t="inlineStr">
        <is>
          <t>11/20/2025</t>
        </is>
      </c>
      <c r="D100" s="4">
        <f>HYPERLINK("https://www.youtube.com/watch?v=FvesuyU_Cmk","https://www.youtube.com/watch?v=FvesuyU_Cmk")</f>
      </c>
      <c r="E100" s="2">
        <v>2</v>
      </c>
      <c r="F100" s="2">
        <v>0</v>
      </c>
      <c r="G100" s="2">
        <v>0</v>
      </c>
      <c r="H100" s="3">
        <v>0</v>
      </c>
      <c r="I100" t="inlineStr">
        <is>
          <t>No</t>
        </is>
      </c>
    </row>
    <row r="101">
      <c r="A101" t="inlineStr">
        <is>
          <t>RxVzs4HJBow</t>
        </is>
      </c>
      <c r="B101" t="inlineStr">
        <is>
          <t>034｜【樂樂 Talk】極簡共讀——明灑老師談大人的感受同樣重要，共讀不是任務，是享受（上）｜S2E11</t>
        </is>
      </c>
      <c r="C101" t="inlineStr">
        <is>
          <t>11/18/2025</t>
        </is>
      </c>
      <c r="D101" s="4">
        <f>HYPERLINK("https://www.youtube.com/watch?v=RxVzs4HJBow","https://www.youtube.com/watch?v=RxVzs4HJBow")</f>
      </c>
      <c r="E101" s="2">
        <v>40</v>
      </c>
      <c r="F101" s="2">
        <v>1</v>
      </c>
      <c r="G101" s="2">
        <v>1</v>
      </c>
      <c r="H101" s="3">
        <v>0.05</v>
      </c>
      <c r="I101" t="inlineStr">
        <is>
          <t>No</t>
        </is>
      </c>
    </row>
  </sheetData>
  <autoFilter ref="A1:I101"/>
</worksheet>
</file>

<file path=xl/worksheets/sheet3.xml><?xml version="1.0" encoding="utf-8"?>
<worksheet xmlns="http://schemas.openxmlformats.org/spreadsheetml/2006/main">
  <sheetViews>
    <sheetView workbookViewId="0">
      <pane ySplit="1" topLeftCell="A2" activePane="bottomLeft" state="frozen"/>
    </sheetView>
  </sheetViews>
  <cols>
    <col min="11" max="11" width="55" customWidth="1"/>
    <col min="10" max="10" width="28" customWidth="1"/>
    <col min="9" max="9" width="16" customWidth="1"/>
    <col min="8" max="8" width="10" customWidth="1"/>
    <col min="7" max="7" width="80" customWidth="1"/>
    <col min="6" max="6" width="10" customWidth="1"/>
    <col min="5" max="5" width="14" customWidth="1"/>
    <col min="4" max="4" width="18" customWidth="1"/>
    <col min="3" max="3" width="45" customWidth="1"/>
    <col min="2" max="2" width="65" customWidth="1"/>
    <col min="1" max="1" width="16" customWidth="1"/>
  </cols>
  <sheetData>
    <row r="1">
      <c r="A1" s="1" t="inlineStr">
        <is>
          <t>Video ID</t>
        </is>
      </c>
      <c r="B1" s="1" t="inlineStr">
        <is>
          <t>Video Title</t>
        </is>
      </c>
      <c r="C1" s="1" t="inlineStr">
        <is>
          <t>Video URL</t>
        </is>
      </c>
      <c r="D1" s="1" t="inlineStr">
        <is>
          <t>Author</t>
        </is>
      </c>
      <c r="E1" s="1" t="inlineStr">
        <is>
          <t>Published</t>
        </is>
      </c>
      <c r="F1" s="1" t="inlineStr">
        <is>
          <t>Likes</t>
        </is>
      </c>
      <c r="G1" s="1" t="inlineStr">
        <is>
          <t>Comment</t>
        </is>
      </c>
      <c r="H1" s="1" t="inlineStr">
        <is>
          <t>Reply</t>
        </is>
      </c>
      <c r="I1" s="1" t="inlineStr">
        <is>
          <t>Category</t>
        </is>
      </c>
      <c r="J1" s="1" t="inlineStr">
        <is>
          <t>Theme Tags</t>
        </is>
      </c>
      <c r="K1" s="1" t="inlineStr">
        <is>
          <t>Response Guidance</t>
        </is>
      </c>
    </row>
    <row r="2">
      <c r="A2" t="inlineStr">
        <is>
          <t>Kro2PP3NBrA</t>
        </is>
      </c>
      <c r="B2" t="inlineStr">
        <is>
          <t>Le Le Chinese Song Sing-Along Read-Aloud｜Mid Autumn Festival Song 和樂樂一起唱讀｜中秋兒歌</t>
        </is>
      </c>
      <c r="C2" s="4">
        <f>HYPERLINK("https://www.youtube.com/watch?v=Kro2PP3NBrA","https://www.youtube.com/watch?v=Kro2PP3NBrA")</f>
      </c>
      <c r="D2" t="inlineStr">
        <is>
          <t>@lelechinese</t>
        </is>
      </c>
      <c r="E2" t="inlineStr">
        <is>
          <t>09/15/2026</t>
        </is>
      </c>
      <c r="F2" s="2">
        <v>0</v>
      </c>
      <c r="G2" t="inlineStr">
        <is>
          <t>👋 This is one of 300 books in the Le Le reading system If your child liked this one, the full set with the audio pen is here →https://lelechinese.co/system or read all 300 in the app → https://lelechinese.co/ebook. Which country are you watching from?</t>
        </is>
      </c>
      <c r="H2" t="inlineStr">
        <is>
          <t>No</t>
        </is>
      </c>
      <c r="I2" t="inlineStr">
        <is>
          <t>其他</t>
        </is>
      </c>
      <c r="J2" t="inlineStr">
        <is>
          <t>未分類</t>
        </is>
      </c>
      <c r="K2" t="inlineStr">
        <is>
          <t>可簡短感謝，觀察是否能延伸成下一支內容題材。</t>
        </is>
      </c>
    </row>
    <row r="3">
      <c r="A3" t="inlineStr">
        <is>
          <t>Kro2PP3NBrA</t>
        </is>
      </c>
      <c r="B3" t="inlineStr">
        <is>
          <t>Le Le Chinese Song Sing-Along Read-Aloud｜Mid Autumn Festival Song 和樂樂一起唱讀｜中秋兒歌</t>
        </is>
      </c>
      <c r="C3" s="4">
        <f>HYPERLINK("https://www.youtube.com/watch?v=Kro2PP3NBrA","https://www.youtube.com/watch?v=Kro2PP3NBrA")</f>
      </c>
      <c r="D3" t="inlineStr">
        <is>
          <t>@miakao5488</t>
        </is>
      </c>
      <c r="E3" t="inlineStr">
        <is>
          <t>09/19/2026</t>
        </is>
      </c>
      <c r="F3" s="2">
        <v>1</v>
      </c>
      <c r="G3" t="inlineStr">
        <is>
          <t>好棒喔</t>
        </is>
      </c>
      <c r="H3" t="inlineStr">
        <is>
          <t>No</t>
        </is>
      </c>
      <c r="I3" t="inlineStr">
        <is>
          <t>其他</t>
        </is>
      </c>
      <c r="J3" t="inlineStr">
        <is>
          <t>未分類</t>
        </is>
      </c>
      <c r="K3" t="inlineStr">
        <is>
          <t>可簡短感謝，觀察是否能延伸成下一支內容題材。</t>
        </is>
      </c>
    </row>
    <row r="4">
      <c r="A4" t="inlineStr">
        <is>
          <t>Kro2PP3NBrA</t>
        </is>
      </c>
      <c r="B4" t="inlineStr">
        <is>
          <t>Le Le Chinese Song Sing-Along Read-Aloud｜Mid Autumn Festival Song 和樂樂一起唱讀｜中秋兒歌</t>
        </is>
      </c>
      <c r="C4" s="4">
        <f>HYPERLINK("https://www.youtube.com/watch?v=Kro2PP3NBrA","https://www.youtube.com/watch?v=Kro2PP3NBrA")</f>
      </c>
      <c r="D4" t="inlineStr">
        <is>
          <t>@lelechinese</t>
        </is>
      </c>
      <c r="E4" t="inlineStr">
        <is>
          <t>09/19/2026</t>
        </is>
      </c>
      <c r="F4" s="2">
        <v>0</v>
      </c>
      <c r="G4" t="inlineStr">
        <is>
          <t>很開心你們喜歡! 讓孩子多唱，再到會員區有更多好玩的活動喔! https://lelechinese.co/midautumn</t>
        </is>
      </c>
      <c r="H4" t="inlineStr">
        <is>
          <t>Yes</t>
        </is>
      </c>
      <c r="I4" t="inlineStr">
        <is>
          <t>學習/共讀</t>
        </is>
      </c>
      <c r="J4" t="inlineStr">
        <is>
          <t>未分類</t>
        </is>
      </c>
      <c r="K4" t="inlineStr">
        <is>
          <t>可回覆：接住家長經驗，補一句每天一點點、陪伴比完美重要。</t>
        </is>
      </c>
    </row>
    <row r="5">
      <c r="A5" t="inlineStr">
        <is>
          <t>goe-UOeBrOU</t>
        </is>
      </c>
      <c r="B5" t="inlineStr">
        <is>
          <t>Le Le Chinese Song Sing-Along Read-Aloud｜ Learn Colours in Chinese 和樂樂一起唱讀｜五顏六色</t>
        </is>
      </c>
      <c r="C5" s="4">
        <f>HYPERLINK("https://www.youtube.com/watch?v=goe-UOeBrOU","https://www.youtube.com/watch?v=goe-UOeBrOU")</f>
      </c>
      <c r="D5" t="inlineStr">
        <is>
          <t>@lelechinese</t>
        </is>
      </c>
      <c r="E5" t="inlineStr">
        <is>
          <t>09/12/2026</t>
        </is>
      </c>
      <c r="F5" s="2">
        <v>0</v>
      </c>
      <c r="G5" t="inlineStr">
        <is>
          <t>👋 This is one of 300 books in the Le Le reading set. If your child liked this one, the full set with the audio pen is here →https://lelechinese.co/system or read all 300 in the app → https://lelechinese.co/ebook. Which country are you watching from?</t>
        </is>
      </c>
      <c r="H5" t="inlineStr">
        <is>
          <t>No</t>
        </is>
      </c>
      <c r="I5" t="inlineStr">
        <is>
          <t>其他</t>
        </is>
      </c>
      <c r="J5" t="inlineStr">
        <is>
          <t>未分類</t>
        </is>
      </c>
      <c r="K5" t="inlineStr">
        <is>
          <t>可簡短感謝，觀察是否能延伸成下一支內容題材。</t>
        </is>
      </c>
    </row>
    <row r="6">
      <c r="A6" t="inlineStr">
        <is>
          <t>uIh_eS18B1g</t>
        </is>
      </c>
      <c r="B6" t="inlineStr">
        <is>
          <t>Le Le Chinese Song Sing-Along Read-Aloud｜Where's Mama? 和樂樂一起唱讀｜媽媽媽媽在哪裡?</t>
        </is>
      </c>
      <c r="C6" s="4">
        <f>HYPERLINK("https://www.youtube.com/watch?v=uIh_eS18B1g","https://www.youtube.com/watch?v=uIh_eS18B1g")</f>
      </c>
      <c r="D6" t="inlineStr">
        <is>
          <t>@lelechinese</t>
        </is>
      </c>
      <c r="E6" t="inlineStr">
        <is>
          <t>09/12/2026</t>
        </is>
      </c>
      <c r="F6" s="2">
        <v>1</v>
      </c>
      <c r="G6" t="inlineStr">
        <is>
          <t>👋 This is one of 300 books in the Le Le reading set. If your child liked this one, the full set with the audio pen is here →https://lelechinese.co/system or read all 300 in the app → https://lelechinese.co/ebook. Which country are you watching from?</t>
        </is>
      </c>
      <c r="H6" t="inlineStr">
        <is>
          <t>No</t>
        </is>
      </c>
      <c r="I6" t="inlineStr">
        <is>
          <t>其他</t>
        </is>
      </c>
      <c r="J6" t="inlineStr">
        <is>
          <t>未分類</t>
        </is>
      </c>
      <c r="K6" t="inlineStr">
        <is>
          <t>可簡短感謝，觀察是否能延伸成下一支內容題材。</t>
        </is>
      </c>
    </row>
    <row r="7">
      <c r="A7" t="inlineStr">
        <is>
          <t>YWZkP3iOrDo</t>
        </is>
      </c>
      <c r="B7" t="inlineStr">
        <is>
          <t>Le Le Chinese Song Sing-Along Read-Aloud｜Dragon Boat Song 和樂樂一起唱讀｜端午兒歌</t>
        </is>
      </c>
      <c r="C7" s="4">
        <f>HYPERLINK("https://www.youtube.com/watch?v=YWZkP3iOrDo","https://www.youtube.com/watch?v=YWZkP3iOrDo")</f>
      </c>
      <c r="D7" t="inlineStr">
        <is>
          <t>@lelechinese</t>
        </is>
      </c>
      <c r="E7" t="inlineStr">
        <is>
          <t>09/12/2026</t>
        </is>
      </c>
      <c r="F7" s="2">
        <v>0</v>
      </c>
      <c r="G7" t="inlineStr">
        <is>
          <t>👋 This is one of 300 books in the Le Le reading set. If your child liked this one, the full set with the audio pen is here →https://lelechinese.co/system or read all 300 in the app → https://lelechinese.co/ebook. Which country are you watching from?</t>
        </is>
      </c>
      <c r="H7" t="inlineStr">
        <is>
          <t>No</t>
        </is>
      </c>
      <c r="I7" t="inlineStr">
        <is>
          <t>其他</t>
        </is>
      </c>
      <c r="J7" t="inlineStr">
        <is>
          <t>未分類</t>
        </is>
      </c>
      <c r="K7" t="inlineStr">
        <is>
          <t>可簡短感謝，觀察是否能延伸成下一支內容題材。</t>
        </is>
      </c>
    </row>
    <row r="8">
      <c r="A8" t="inlineStr">
        <is>
          <t>R5yyhHk-J0s</t>
        </is>
      </c>
      <c r="B8" t="inlineStr">
        <is>
          <t>Le Le Chinese Song Sing-Along Read-Aloud｜Where Are Daddy's Things? 和樂樂一起唱讀｜爸爸的東西在哪裡?</t>
        </is>
      </c>
      <c r="C8" s="4">
        <f>HYPERLINK("https://www.youtube.com/watch?v=R5yyhHk-J0s","https://www.youtube.com/watch?v=R5yyhHk-J0s")</f>
      </c>
      <c r="D8" t="inlineStr">
        <is>
          <t>@lelechinese</t>
        </is>
      </c>
      <c r="E8" t="inlineStr">
        <is>
          <t>09/12/2026</t>
        </is>
      </c>
      <c r="F8" s="2">
        <v>0</v>
      </c>
      <c r="G8" t="inlineStr">
        <is>
          <t>👋 This is one of 300 books in the Le Le reading set. If your child liked this one, the full set with the audio pen is here →https://lelechinese.co/system or read all 300 in the app → https://lelechinese.co/ebook. Which country are you watching from?</t>
        </is>
      </c>
      <c r="H8" t="inlineStr">
        <is>
          <t>No</t>
        </is>
      </c>
      <c r="I8" t="inlineStr">
        <is>
          <t>其他</t>
        </is>
      </c>
      <c r="J8" t="inlineStr">
        <is>
          <t>未分類</t>
        </is>
      </c>
      <c r="K8" t="inlineStr">
        <is>
          <t>可簡短感謝，觀察是否能延伸成下一支內容題材。</t>
        </is>
      </c>
    </row>
    <row r="9">
      <c r="A9" t="inlineStr">
        <is>
          <t>gBLovSpZ-Eo</t>
        </is>
      </c>
      <c r="B9" t="inlineStr">
        <is>
          <t>046｜【樂樂 Talk】為什麼孩子只要我讀？——孩子不肯自己讀，其實是最好的訊號｜S4E04</t>
        </is>
      </c>
      <c r="C9" s="4">
        <f>HYPERLINK("https://www.youtube.com/watch?v=gBLovSpZ-Eo","https://www.youtube.com/watch?v=gBLovSpZ-Eo")</f>
      </c>
      <c r="D9" t="inlineStr">
        <is>
          <t>@yenyanchen2752</t>
        </is>
      </c>
      <c r="E9" t="inlineStr">
        <is>
          <t>05/13/2026</t>
        </is>
      </c>
      <c r="F9" s="2">
        <v>1</v>
      </c>
      <c r="G9" t="inlineStr">
        <is>
          <t>❤❤❤</t>
        </is>
      </c>
      <c r="H9" t="inlineStr">
        <is>
          <t>No</t>
        </is>
      </c>
      <c r="I9" t="inlineStr">
        <is>
          <t>其他</t>
        </is>
      </c>
      <c r="J9" t="inlineStr">
        <is>
          <t>未分類</t>
        </is>
      </c>
      <c r="K9" t="inlineStr">
        <is>
          <t>可簡短感謝，觀察是否能延伸成下一支內容題材。</t>
        </is>
      </c>
    </row>
    <row r="10">
      <c r="A10" t="inlineStr">
        <is>
          <t>COr7Y8WQolA</t>
        </is>
      </c>
      <c r="B10" t="inlineStr">
        <is>
          <t>我的母語是什麼 #shorts</t>
        </is>
      </c>
      <c r="C10" s="4">
        <f>HYPERLINK("https://www.youtube.com/watch?v=COr7Y8WQolA","https://www.youtube.com/watch?v=COr7Y8WQolA")</f>
      </c>
      <c r="D10" t="inlineStr">
        <is>
          <t>@fet092</t>
        </is>
      </c>
      <c r="E10" t="inlineStr">
        <is>
          <t>02/08/2026</t>
        </is>
      </c>
      <c r="F10" s="2">
        <v>1</v>
      </c>
      <c r="G10" t="inlineStr">
        <is>
          <t>台語就是眾多華語中的一支。</t>
        </is>
      </c>
      <c r="H10" t="inlineStr">
        <is>
          <t>No</t>
        </is>
      </c>
      <c r="I10" t="inlineStr">
        <is>
          <t>家庭語言</t>
        </is>
      </c>
      <c r="J10" t="inlineStr">
        <is>
          <t>家庭語言</t>
        </is>
      </c>
      <c r="K10" t="inlineStr">
        <is>
          <t>可回覆：肯定每個家庭的語言選擇，邀請分享家中使用語言的故事。</t>
        </is>
      </c>
    </row>
    <row r="11">
      <c r="A11" t="inlineStr">
        <is>
          <t>COr7Y8WQolA</t>
        </is>
      </c>
      <c r="B11" t="inlineStr">
        <is>
          <t>我的母語是什麼 #shorts</t>
        </is>
      </c>
      <c r="C11" s="4">
        <f>HYPERLINK("https://www.youtube.com/watch?v=COr7Y8WQolA","https://www.youtube.com/watch?v=COr7Y8WQolA")</f>
      </c>
      <c r="D11" t="inlineStr">
        <is>
          <t>@peter90004</t>
        </is>
      </c>
      <c r="E11" t="inlineStr">
        <is>
          <t>02/08/2026</t>
        </is>
      </c>
      <c r="F11" s="2">
        <v>1</v>
      </c>
      <c r="G11" t="inlineStr">
        <is>
          <t>蔣介石的母語是浙江寧波語，也不是北京話，國語就是要讓大家好溝通而已</t>
        </is>
      </c>
      <c r="H11" t="inlineStr">
        <is>
          <t>No</t>
        </is>
      </c>
      <c r="I11" t="inlineStr">
        <is>
          <t>家庭語言</t>
        </is>
      </c>
      <c r="J11" t="inlineStr">
        <is>
          <t>家庭語言</t>
        </is>
      </c>
      <c r="K11" t="inlineStr">
        <is>
          <t>可回覆：肯定每個家庭的語言選擇，邀請分享家中使用語言的故事。</t>
        </is>
      </c>
    </row>
    <row r="12">
      <c r="A12" t="inlineStr">
        <is>
          <t>COr7Y8WQolA</t>
        </is>
      </c>
      <c r="B12" t="inlineStr">
        <is>
          <t>我的母語是什麼 #shorts</t>
        </is>
      </c>
      <c r="C12" s="4">
        <f>HYPERLINK("https://www.youtube.com/watch?v=COr7Y8WQolA","https://www.youtube.com/watch?v=COr7Y8WQolA")</f>
      </c>
      <c r="D12" t="inlineStr">
        <is>
          <t>@frankzheng5494</t>
        </is>
      </c>
      <c r="E12" t="inlineStr">
        <is>
          <t>02/07/2026</t>
        </is>
      </c>
      <c r="F12" s="2">
        <v>1</v>
      </c>
      <c r="G12" t="inlineStr">
        <is>
          <t>原來就是說閩南語方言啦！</t>
        </is>
      </c>
      <c r="H12" t="inlineStr">
        <is>
          <t>No</t>
        </is>
      </c>
      <c r="I12" t="inlineStr">
        <is>
          <t>家庭語言</t>
        </is>
      </c>
      <c r="J12" t="inlineStr">
        <is>
          <t>家庭語言</t>
        </is>
      </c>
      <c r="K12" t="inlineStr">
        <is>
          <t>可回覆：肯定每個家庭的語言選擇，邀請分享家中使用語言的故事。</t>
        </is>
      </c>
    </row>
    <row r="13">
      <c r="A13" t="inlineStr">
        <is>
          <t>COr7Y8WQolA</t>
        </is>
      </c>
      <c r="B13" t="inlineStr">
        <is>
          <t>我的母語是什麼 #shorts</t>
        </is>
      </c>
      <c r="C13" s="4">
        <f>HYPERLINK("https://www.youtube.com/watch?v=COr7Y8WQolA","https://www.youtube.com/watch?v=COr7Y8WQolA")</f>
      </c>
      <c r="D13" t="inlineStr">
        <is>
          <t>@arielcc5397</t>
        </is>
      </c>
      <c r="E13" t="inlineStr">
        <is>
          <t>02/07/2026</t>
        </is>
      </c>
      <c r="F13" s="2">
        <v>1</v>
      </c>
      <c r="G13" t="inlineStr">
        <is>
          <t>笑屎。。。往上一代去追尋？？所以追到了什麼啦？？？？？</t>
        </is>
      </c>
      <c r="H13" t="inlineStr">
        <is>
          <t>No</t>
        </is>
      </c>
      <c r="I13" t="inlineStr">
        <is>
          <t>其他</t>
        </is>
      </c>
      <c r="J13" t="inlineStr">
        <is>
          <t>未分類</t>
        </is>
      </c>
      <c r="K13" t="inlineStr">
        <is>
          <t>可簡短感謝，觀察是否能延伸成下一支內容題材。</t>
        </is>
      </c>
    </row>
    <row r="14">
      <c r="A14" t="inlineStr">
        <is>
          <t>COr7Y8WQolA</t>
        </is>
      </c>
      <c r="B14" t="inlineStr">
        <is>
          <t>我的母語是什麼 #shorts</t>
        </is>
      </c>
      <c r="C14" s="4">
        <f>HYPERLINK("https://www.youtube.com/watch?v=COr7Y8WQolA","https://www.youtube.com/watch?v=COr7Y8WQolA")</f>
      </c>
      <c r="D14" t="inlineStr">
        <is>
          <t>@kcma-k9l</t>
        </is>
      </c>
      <c r="E14" t="inlineStr">
        <is>
          <t>02/07/2026</t>
        </is>
      </c>
      <c r="F14" s="2">
        <v>0</v>
      </c>
      <c r="G14" t="inlineStr">
        <is>
          <t>台独</t>
        </is>
      </c>
      <c r="H14" t="inlineStr">
        <is>
          <t>No</t>
        </is>
      </c>
      <c r="I14" t="inlineStr">
        <is>
          <t>政治/爭議</t>
        </is>
      </c>
      <c r="J14" t="inlineStr">
        <is>
          <t>未分類</t>
        </is>
      </c>
      <c r="K14" t="inlineStr">
        <is>
          <t>低衝突回覆：感謝分享，拉回家庭語言與親子連結，不辯政治立場。</t>
        </is>
      </c>
    </row>
    <row r="15">
      <c r="A15" t="inlineStr">
        <is>
          <t>MPw_QotGKng</t>
        </is>
      </c>
      <c r="B15" t="inlineStr">
        <is>
          <t>力玄華語對我的家族其實是外來語 #shorts</t>
        </is>
      </c>
      <c r="C15" s="4">
        <f>HYPERLINK("https://www.youtube.com/watch?v=MPw_QotGKng","https://www.youtube.com/watch?v=MPw_QotGKng")</f>
      </c>
      <c r="D15" t="inlineStr">
        <is>
          <t>@debc8406</t>
        </is>
      </c>
      <c r="E15" t="inlineStr">
        <is>
          <t>12/27/2025</t>
        </is>
      </c>
      <c r="F15" s="2">
        <v>1</v>
      </c>
      <c r="G15" t="inlineStr">
        <is>
          <t>你所謂的‘’台語‘’，其實是‘閩南語’，最近3，40年才在台灣改名的，為了滿足去中國化的意識形態。所以，你沒必要擔心它失傳，講閩南語的最大族群不在台灣。您也不必覺得講‘’中文‘’等於‘親中，必須把‘中文‘改稱為‘’華語’’。英語到了澳洲，紐西蘭，和美國同樣是英語，沒有變成澳洲話，紐西蘭話，美國話。美國人講英語並不影響國家的獨立性。但是，當一個國家為了政治因素而要切斷文化的根時，應該考慮那麼我們還剩什麼？在我們推行台灣版的 cancel Culture 時，它其實是一場台灣版的文化大革命。它將給後代帶來的是文化真空，和滿腦子的意識形態。</t>
        </is>
      </c>
      <c r="H15" t="inlineStr">
        <is>
          <t>No</t>
        </is>
      </c>
      <c r="I15" t="inlineStr">
        <is>
          <t>政治/爭議</t>
        </is>
      </c>
      <c r="J15" t="inlineStr">
        <is>
          <t>海外環境, 家庭語言</t>
        </is>
      </c>
      <c r="K15" t="inlineStr">
        <is>
          <t>低衝突回覆：感謝分享，拉回家庭語言與親子連結，不辯政治立場。</t>
        </is>
      </c>
    </row>
    <row r="16">
      <c r="A16" t="inlineStr">
        <is>
          <t>MPw_QotGKng</t>
        </is>
      </c>
      <c r="B16" t="inlineStr">
        <is>
          <t>力玄華語對我的家族其實是外來語 #shorts</t>
        </is>
      </c>
      <c r="C16" s="4">
        <f>HYPERLINK("https://www.youtube.com/watch?v=MPw_QotGKng","https://www.youtube.com/watch?v=MPw_QotGKng")</f>
      </c>
      <c r="D16" t="inlineStr">
        <is>
          <t>@suika_hachikai</t>
        </is>
      </c>
      <c r="E16" t="inlineStr">
        <is>
          <t>12/27/2025</t>
        </is>
      </c>
      <c r="F16" s="2">
        <v>0</v>
      </c>
      <c r="G16" t="inlineStr">
        <is>
          <t>部分正確。</t>
        </is>
      </c>
      <c r="H16" t="inlineStr">
        <is>
          <t>Yes</t>
        </is>
      </c>
      <c r="I16" t="inlineStr">
        <is>
          <t>其他</t>
        </is>
      </c>
      <c r="J16" t="inlineStr">
        <is>
          <t>未分類</t>
        </is>
      </c>
      <c r="K16" t="inlineStr">
        <is>
          <t>可簡短感謝，觀察是否能延伸成下一支內容題材。</t>
        </is>
      </c>
    </row>
    <row r="17">
      <c r="A17" t="inlineStr">
        <is>
          <t>MPw_QotGKng</t>
        </is>
      </c>
      <c r="B17" t="inlineStr">
        <is>
          <t>力玄華語對我的家族其實是外來語 #shorts</t>
        </is>
      </c>
      <c r="C17" s="4">
        <f>HYPERLINK("https://www.youtube.com/watch?v=MPw_QotGKng","https://www.youtube.com/watch?v=MPw_QotGKng")</f>
      </c>
      <c r="D17" t="inlineStr">
        <is>
          <t>@DinDin-c6i</t>
        </is>
      </c>
      <c r="E17" t="inlineStr">
        <is>
          <t>12/27/2025</t>
        </is>
      </c>
      <c r="F17" s="2">
        <v>2</v>
      </c>
      <c r="G17" t="inlineStr">
        <is>
          <t>我的小孩學會講話的第一句就是台語，他是學會台語上幼稚園以後才開始學華語 他現在17歲台語很OK</t>
        </is>
      </c>
      <c r="H17" t="inlineStr">
        <is>
          <t>No</t>
        </is>
      </c>
      <c r="I17" t="inlineStr">
        <is>
          <t>家庭語言</t>
        </is>
      </c>
      <c r="J17" t="inlineStr">
        <is>
          <t>家庭語言</t>
        </is>
      </c>
      <c r="K17" t="inlineStr">
        <is>
          <t>可回覆：肯定每個家庭的語言選擇，邀請分享家中使用語言的故事。</t>
        </is>
      </c>
    </row>
    <row r="18">
      <c r="A18" t="inlineStr">
        <is>
          <t>RxVzs4HJBow</t>
        </is>
      </c>
      <c r="B18" t="inlineStr">
        <is>
          <t>034｜【樂樂 Talk】極簡共讀——明灑老師談大人的感受同樣重要，共讀不是任務，是享受（上）｜S2E11</t>
        </is>
      </c>
      <c r="C18" s="4">
        <f>HYPERLINK("https://www.youtube.com/watch?v=RxVzs4HJBow","https://www.youtube.com/watch?v=RxVzs4HJBow")</f>
      </c>
      <c r="D18" t="inlineStr">
        <is>
          <t>@zhenfan2</t>
        </is>
      </c>
      <c r="E18" t="inlineStr">
        <is>
          <t>11/21/2025</t>
        </is>
      </c>
      <c r="F18" s="2">
        <v>0</v>
      </c>
      <c r="G18" t="inlineStr">
        <is>
          <t>最後兒子亂入是共讀最好示範😅</t>
        </is>
      </c>
      <c r="H18" t="inlineStr">
        <is>
          <t>No</t>
        </is>
      </c>
      <c r="I18" t="inlineStr">
        <is>
          <t>學習/共讀</t>
        </is>
      </c>
      <c r="J18" t="inlineStr">
        <is>
          <t>共讀與閱讀</t>
        </is>
      </c>
      <c r="K18" t="inlineStr">
        <is>
          <t>可回覆：接住家長經驗，補一句每天一點點、陪伴比完美重要。</t>
        </is>
      </c>
    </row>
  </sheetData>
  <autoFilter ref="A1:K18"/>
</worksheet>
</file>

<file path=xl/worksheets/sheet4.xml><?xml version="1.0" encoding="utf-8"?>
<worksheet xmlns="http://schemas.openxmlformats.org/spreadsheetml/2006/main">
  <sheetViews>
    <sheetView workbookViewId="0">
      <pane ySplit="1" topLeftCell="A2" activePane="bottomLeft" state="frozen"/>
    </sheetView>
  </sheetViews>
  <cols>
    <col min="3" max="3" width="36" customWidth="1"/>
    <col min="2" max="2" width="16" customWidth="1"/>
    <col min="1" max="1" width="24" customWidth="1"/>
  </cols>
  <sheetData>
    <row r="1">
      <c r="A1" s="1" t="inlineStr">
        <is>
          <t>Theme</t>
        </is>
      </c>
      <c r="B1" s="1" t="inlineStr">
        <is>
          <t>Comment Count</t>
        </is>
      </c>
      <c r="C1" s="1" t="inlineStr">
        <is>
          <t>Method</t>
        </is>
      </c>
    </row>
    <row r="2">
      <c r="A2" t="inlineStr">
        <is>
          <t>家庭語言</t>
        </is>
      </c>
      <c r="B2" s="2">
        <v>5</v>
      </c>
      <c r="C2" t="inlineStr">
        <is>
          <t>從留言文字關鍵詞自動標記</t>
        </is>
      </c>
    </row>
    <row r="3">
      <c r="A3" t="inlineStr">
        <is>
          <t>共讀與閱讀</t>
        </is>
      </c>
      <c r="B3" s="2">
        <v>1</v>
      </c>
      <c r="C3" t="inlineStr">
        <is>
          <t>從留言文字關鍵詞自動標記</t>
        </is>
      </c>
    </row>
    <row r="4">
      <c r="A4" t="inlineStr">
        <is>
          <t>海外環境</t>
        </is>
      </c>
      <c r="B4" s="2">
        <v>1</v>
      </c>
      <c r="C4" t="inlineStr">
        <is>
          <t>從留言文字關鍵詞自動標記</t>
        </is>
      </c>
    </row>
  </sheetData>
  <autoFilter ref="A1:C4"/>
</worksheet>
</file>

<file path=xl/worksheets/sheet5.xml><?xml version="1.0" encoding="utf-8"?>
<worksheet xmlns="http://schemas.openxmlformats.org/spreadsheetml/2006/main">
  <sheetViews>
    <sheetView workbookViewId="0">
      <pane ySplit="1" topLeftCell="A2" activePane="bottomLeft" state="frozen"/>
    </sheetView>
  </sheetViews>
  <cols>
    <col min="4" max="4" width="12" customWidth="1"/>
    <col min="3" max="3" width="55" customWidth="1"/>
    <col min="2" max="2" width="70" customWidth="1"/>
    <col min="1" max="1" width="22" customWidth="1"/>
  </cols>
  <sheetData>
    <row r="1">
      <c r="A1" s="1" t="inlineStr">
        <is>
          <t>Type</t>
        </is>
      </c>
      <c r="B1" s="1" t="inlineStr">
        <is>
          <t>Recommendation</t>
        </is>
      </c>
      <c r="C1" s="1" t="inlineStr">
        <is>
          <t>Why</t>
        </is>
      </c>
      <c r="D1" s="1" t="inlineStr">
        <is>
          <t>Priority</t>
        </is>
      </c>
    </row>
    <row r="2">
      <c r="A2" t="inlineStr">
        <is>
          <t>下一支 Shorts 題目</t>
        </is>
      </c>
      <c r="B2" t="inlineStr">
        <is>
          <t>「為什麼孩子一上學就不說中文？」延伸成安全感與家庭語言系列</t>
        </is>
      </c>
      <c r="C2" t="inlineStr">
        <is>
          <t>Shorts 中雙語流失、母語身份題材表現較好</t>
        </is>
      </c>
      <c r="D2" t="inlineStr">
        <is>
          <t>高</t>
        </is>
      </c>
    </row>
    <row r="3">
      <c r="A3" t="inlineStr">
        <is>
          <t>留言回覆角度</t>
        </is>
      </c>
      <c r="B3" t="inlineStr">
        <is>
          <t>遇到台語/華語/中文命名爭議時，回到『每個家庭都在找回自己的連結』</t>
        </is>
      </c>
      <c r="C3" t="inlineStr">
        <is>
          <t>留言中政治/語言身份爭議明顯</t>
        </is>
      </c>
      <c r="D3" t="inlineStr">
        <is>
          <t>高</t>
        </is>
      </c>
    </row>
    <row r="4">
      <c r="A4" t="inlineStr">
        <is>
          <t>內容系列</t>
        </is>
      </c>
      <c r="B4" t="inlineStr">
        <is>
          <t>做 3 支：母語不是政治、母語是家的聲音、孩子需要聽見家人的語言</t>
        </is>
      </c>
      <c r="C4" t="inlineStr">
        <is>
          <t>家庭語言是留言主題最高</t>
        </is>
      </c>
      <c r="D4" t="inlineStr">
        <is>
          <t>中</t>
        </is>
      </c>
    </row>
    <row r="5">
      <c r="A5" t="inlineStr">
        <is>
          <t>影片優化</t>
        </is>
      </c>
      <c r="B5" t="inlineStr">
        <is>
          <t>把 Untitled Shorts 補上明確標題，避免後續分析與觀眾理解成本</t>
        </is>
      </c>
      <c r="C5" t="inlineStr">
        <is>
          <t>最近 Shorts 有 Untitled title</t>
        </is>
      </c>
      <c r="D5" t="inlineStr">
        <is>
          <t>中</t>
        </is>
      </c>
    </row>
    <row r="6">
      <c r="A6" t="inlineStr">
        <is>
          <t>CTA</t>
        </is>
      </c>
      <c r="B6" t="inlineStr">
        <is>
          <t>在高觀看 Shorts 置頂留言引導：留言『GROUP』或加入 LINE/電子報</t>
        </is>
      </c>
      <c r="C6" t="inlineStr">
        <is>
          <t>高觀看影片留言仍少，需明確互動指令</t>
        </is>
      </c>
      <c r="D6" t="inlineStr">
        <is>
          <t>中</t>
        </is>
      </c>
    </row>
  </sheetData>
  <autoFilter ref="A1:D6"/>
</worksheet>
</file>