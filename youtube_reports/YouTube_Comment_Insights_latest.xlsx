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112</v>
      </c>
      <c r="C4" s="2">
        <v>Public YouTube channel subscriber count</v>
      </c>
      <c r="D4" s="2">
        <v/>
      </c>
      <c r="E4" s="2">
        <v/>
      </c>
      <c r="F4" t="inlineStr">
        <is>
          <t/>
        </is>
      </c>
    </row>
    <row r="5">
      <c r="A5" s="2">
        <v>Comments fetched</v>
      </c>
      <c r="B5" s="2">
        <v>15</v>
      </c>
      <c r="C5" s="2">
        <v>Public comments from exported videos</v>
      </c>
      <c r="D5" s="2">
        <v/>
      </c>
      <c r="E5" s="2">
        <v/>
      </c>
      <c r="F5" t="inlineStr">
        <is>
          <t/>
        </is>
      </c>
    </row>
    <row r="6">
      <c r="A6" s="2">
        <v>Public views total</v>
      </c>
      <c r="B6" s="2">
        <v>24472</v>
      </c>
      <c r="C6" s="2">
        <v/>
      </c>
      <c r="D6" s="2">
        <v/>
      </c>
      <c r="E6" s="2">
        <v/>
      </c>
      <c r="F6" t="inlineStr">
        <is>
          <t/>
        </is>
      </c>
    </row>
    <row r="7">
      <c r="A7" s="2">
        <v>Public likes total</v>
      </c>
      <c r="B7" s="2">
        <v>184</v>
      </c>
      <c r="C7" s="2">
        <v/>
      </c>
      <c r="D7" s="2">
        <v/>
      </c>
      <c r="E7" s="2">
        <v/>
      </c>
      <c r="F7" t="inlineStr">
        <is>
          <t/>
        </is>
      </c>
    </row>
    <row r="8">
      <c r="A8" s="2">
        <v>Public comments total</v>
      </c>
      <c r="B8" s="2">
        <v>15</v>
      </c>
      <c r="C8" s="2">
        <v/>
      </c>
      <c r="D8" s="2">
        <v/>
      </c>
      <c r="E8" s="2">
        <v/>
      </c>
      <c r="F8" t="inlineStr">
        <is>
          <t/>
        </is>
      </c>
    </row>
    <row r="9">
      <c r="A9" s="2">
        <v>Videos with comments</v>
      </c>
      <c r="B9" s="2">
        <v>9</v>
      </c>
      <c r="C9" s="2">
        <v/>
      </c>
      <c r="D9" s="2">
        <v/>
      </c>
      <c r="E9" s="2">
        <v/>
      </c>
      <c r="F9" t="inlineStr">
        <is>
          <t/>
        </is>
      </c>
    </row>
    <row r="10">
      <c r="A10" s="2">
        <v>Shorts count</v>
      </c>
      <c r="B10" s="2">
        <v>55</v>
      </c>
      <c r="C10" s="2">
        <v/>
      </c>
      <c r="D10" s="2">
        <v/>
      </c>
      <c r="E10" s="2">
        <v/>
      </c>
      <c r="F10" t="inlineStr">
        <is>
          <t/>
        </is>
      </c>
    </row>
    <row r="11">
      <c r="A11" s="2">
        <v>Long-form count</v>
      </c>
      <c r="B11" s="2">
        <v>45</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想要月餅活動紙留言GROUP</v>
      </c>
      <c r="C15" s="2">
        <v>1830</v>
      </c>
      <c r="D15" s="2">
        <v>10</v>
      </c>
      <c r="E15" s="2">
        <v>0</v>
      </c>
      <c r="F15" s="4">
        <f>HYPERLINK("https://www.youtube.com/watch?v=0iC4fAn_-fM","https://www.youtube.com/watch?v=0iC4fAn_-fM")</f>
      </c>
    </row>
    <row r="16">
      <c r="A16" s="2">
        <v>2</v>
      </c>
      <c r="B16" s="2">
        <v>覺得自己中文不夠好就不敢陪孩子一起學嗎 #shorts</v>
      </c>
      <c r="C16" s="2">
        <v>1317</v>
      </c>
      <c r="D16" s="2">
        <v>15</v>
      </c>
      <c r="E16" s="2">
        <v>0</v>
      </c>
      <c r="F16" s="4">
        <f>HYPERLINK("https://www.youtube.com/watch?v=TOtqkJORHhg","https://www.youtube.com/watch?v=TOtqkJORHhg")</f>
      </c>
    </row>
    <row r="17">
      <c r="A17" s="2">
        <v>3</v>
      </c>
      <c r="B17" s="2">
        <v>力玄華語對我的家族其實是外來語 #shorts</v>
      </c>
      <c r="C17" s="2">
        <v>1184</v>
      </c>
      <c r="D17" s="2">
        <v>12</v>
      </c>
      <c r="E17" s="2">
        <v>3</v>
      </c>
      <c r="F17" s="4">
        <f>HYPERLINK("https://www.youtube.com/watch?v=MPw_QotGKng","https://www.youtube.com/watch?v=MPw_QotGKng")</f>
      </c>
    </row>
    <row r="18">
      <c r="A18" s="2">
        <v>4</v>
      </c>
      <c r="B18" s="2">
        <v>我們用上一代的方式去教中文卻讓孩子失去語言的感情 #shorts</v>
      </c>
      <c r="C18" s="2">
        <v>1178</v>
      </c>
      <c r="D18" s="2">
        <v>3</v>
      </c>
      <c r="E18" s="2">
        <v>1</v>
      </c>
      <c r="F18" s="4">
        <f>HYPERLINK("https://www.youtube.com/watch?v=anmOs42G-0I","https://www.youtube.com/watch?v=anmOs42G-0I")</f>
      </c>
    </row>
    <row r="19">
      <c r="A19" s="2">
        <v>5</v>
      </c>
      <c r="B19" s="2">
        <v>因為拼音只是拼讀孩子可能會念卻寫不出換到另一個故事又完全卡住 #shorts</v>
      </c>
      <c r="C19" s="2">
        <v>1132</v>
      </c>
      <c r="D19" s="2">
        <v>7</v>
      </c>
      <c r="E19" s="2">
        <v>0</v>
      </c>
      <c r="F19" s="4">
        <f>HYPERLINK("https://www.youtube.com/watch?v=_UGl6HqIlRA","https://www.youtube.com/watch?v=_UGl6HqIlRA")</f>
      </c>
    </row>
    <row r="20">
      <c r="A20" s="2">
        <v>6</v>
      </c>
      <c r="B20" s="2">
        <v>我的母語是什麼 #shorts</v>
      </c>
      <c r="C20" s="2">
        <v>1115</v>
      </c>
      <c r="D20" s="2">
        <v>8</v>
      </c>
      <c r="E20" s="2">
        <v>5</v>
      </c>
      <c r="F20" s="4">
        <f>HYPERLINK("https://www.youtube.com/watch?v=COr7Y8WQolA","https://www.youtube.com/watch?v=COr7Y8WQolA")</f>
      </c>
    </row>
    <row r="21">
      <c r="A21" s="2">
        <v>7</v>
      </c>
      <c r="B21" s="2">
        <v>如何在海外創造必須用中文的環境 #shorts</v>
      </c>
      <c r="C21" s="2">
        <v>1109</v>
      </c>
      <c r="D21" s="2">
        <v>3</v>
      </c>
      <c r="E21" s="2">
        <v>0</v>
      </c>
      <c r="F21" s="4">
        <f>HYPERLINK("https://www.youtube.com/watch?v=2YXUzg9R--c","https://www.youtube.com/watch?v=2YXUzg9R--c")</f>
      </c>
    </row>
    <row r="22">
      <c r="A22" s="2">
        <v>8</v>
      </c>
      <c r="B22" s="2">
        <v>聽起來不可思議但太多家庭都遇到一樣的問題 #shorts</v>
      </c>
      <c r="C22" s="2">
        <v>1074</v>
      </c>
      <c r="D22" s="2">
        <v>13</v>
      </c>
      <c r="E22" s="2">
        <v>1</v>
      </c>
      <c r="F22" s="4">
        <f>HYPERLINK("https://www.youtube.com/watch?v=1Yp-hUO3SpA","https://www.youtube.com/watch?v=1Yp-hUO3SpA")</f>
      </c>
    </row>
    <row r="23">
      <c r="A23" s="2">
        <v>9</v>
      </c>
      <c r="B23" s="2">
        <v>沒有一個更好的老師因為父母就是最好的老師  #shorts</v>
      </c>
      <c r="C23" s="2">
        <v>1026</v>
      </c>
      <c r="D23" s="2">
        <v>7</v>
      </c>
      <c r="E23" s="2">
        <v>0</v>
      </c>
      <c r="F23" s="4">
        <f>HYPERLINK("https://www.youtube.com/watch?v=As_rvS90u0U","https://www.youtube.com/watch?v=As_rvS90u0U")</f>
      </c>
    </row>
    <row r="24">
      <c r="A24" s="2">
        <v>10</v>
      </c>
      <c r="B24" s="2">
        <v>真正重要的不是字數而是他能不能讀懂故事 #shorts</v>
      </c>
      <c r="C24" s="2">
        <v>978</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55</v>
      </c>
      <c r="C27" s="2">
        <v>18694</v>
      </c>
      <c r="D27" s="2">
        <v>339.9</v>
      </c>
      <c r="E27" s="2">
        <v/>
      </c>
      <c r="F27" t="inlineStr">
        <is>
          <t/>
        </is>
      </c>
    </row>
    <row r="28">
      <c r="A28" s="2">
        <v>Long-form</v>
      </c>
      <c r="B28" s="2">
        <v>45</v>
      </c>
      <c r="C28" s="2">
        <v>5778</v>
      </c>
      <c r="D28" s="2">
        <v>128.4</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I4LBpvuZHmE</t>
        </is>
      </c>
      <c r="B2" t="inlineStr">
        <is>
          <t>腦袋遠比我們想像得更能承載多語 #shorts</t>
        </is>
      </c>
      <c r="C2" t="inlineStr">
        <is>
          <t>05/30/2026</t>
        </is>
      </c>
      <c r="D2" s="4">
        <f>HYPERLINK("https://www.youtube.com/watch?v=I4LBpvuZHmE","https://www.youtube.com/watch?v=I4LBpvuZHmE")</f>
      </c>
      <c r="E2" s="2">
        <v>112</v>
      </c>
      <c r="F2" s="2">
        <v>0</v>
      </c>
      <c r="G2" s="2">
        <v>0</v>
      </c>
      <c r="H2" s="3">
        <v>0</v>
      </c>
      <c r="I2" t="inlineStr">
        <is>
          <t>Yes</t>
        </is>
      </c>
    </row>
    <row r="3">
      <c r="A3" t="inlineStr">
        <is>
          <t>G0pBnvlFHko</t>
        </is>
      </c>
      <c r="B3" t="inlineStr">
        <is>
          <t>048｜【樂樂 Talk】為什麼孩子只想重複讀同一本書？——把書藏到衣櫃裡，Jewel 的真實告白｜S4E05</t>
        </is>
      </c>
      <c r="C3" t="inlineStr">
        <is>
          <t>05/26/2026</t>
        </is>
      </c>
      <c r="D3" s="4">
        <f>HYPERLINK("https://www.youtube.com/watch?v=G0pBnvlFHko","https://www.youtube.com/watch?v=G0pBnvlFHko")</f>
      </c>
      <c r="E3" s="2">
        <v>25</v>
      </c>
      <c r="F3" s="2">
        <v>1</v>
      </c>
      <c r="G3" s="2">
        <v>0</v>
      </c>
      <c r="H3" s="3">
        <v>0.04</v>
      </c>
      <c r="I3" t="inlineStr">
        <is>
          <t>No</t>
        </is>
      </c>
    </row>
    <row r="4">
      <c r="A4" t="inlineStr">
        <is>
          <t>M_oWZ54-bns</t>
        </is>
      </c>
      <c r="B4" t="inlineStr">
        <is>
          <t>原來孩子放棄中文的真正原因是....壓力🦆 #shorts</t>
        </is>
      </c>
      <c r="C4" t="inlineStr">
        <is>
          <t>05/23/2026</t>
        </is>
      </c>
      <c r="D4" s="4">
        <f>HYPERLINK("https://www.youtube.com/watch?v=M_oWZ54-bns","https://www.youtube.com/watch?v=M_oWZ54-bns")</f>
      </c>
      <c r="E4" s="2">
        <v>1</v>
      </c>
      <c r="F4" s="2">
        <v>0</v>
      </c>
      <c r="G4" s="2">
        <v>0</v>
      </c>
      <c r="H4" s="3">
        <v>0</v>
      </c>
      <c r="I4" t="inlineStr">
        <is>
          <t>Yes</t>
        </is>
      </c>
    </row>
    <row r="5">
      <c r="A5" t="inlineStr">
        <is>
          <t>NKCd10Go2mE</t>
        </is>
      </c>
      <c r="B5" t="inlineStr">
        <is>
          <t>047｜【樂樂 Talk】為什麼孩子只看圖不看字？——放下識字焦慮，看圖才是閱讀真正的起點｜S3E15</t>
        </is>
      </c>
      <c r="C5" t="inlineStr">
        <is>
          <t>05/19/2026</t>
        </is>
      </c>
      <c r="D5" s="4">
        <f>HYPERLINK("https://www.youtube.com/watch?v=NKCd10Go2mE","https://www.youtube.com/watch?v=NKCd10Go2mE")</f>
      </c>
      <c r="E5" s="2">
        <v>22</v>
      </c>
      <c r="F5" s="2">
        <v>0</v>
      </c>
      <c r="G5" s="2">
        <v>0</v>
      </c>
      <c r="H5" s="3">
        <v>0</v>
      </c>
      <c r="I5" t="inlineStr">
        <is>
          <t>No</t>
        </is>
      </c>
    </row>
    <row r="6">
      <c r="A6" t="inlineStr">
        <is>
          <t>a6Bm-ftleDM</t>
        </is>
      </c>
      <c r="B6" t="inlineStr">
        <is>
          <t>重複，是最自然的學習方式 #shorts</t>
        </is>
      </c>
      <c r="C6" t="inlineStr">
        <is>
          <t>05/16/2026</t>
        </is>
      </c>
      <c r="D6" s="4">
        <f>HYPERLINK("https://www.youtube.com/watch?v=a6Bm-ftleDM","https://www.youtube.com/watch?v=a6Bm-ftleDM")</f>
      </c>
      <c r="E6" s="2">
        <v>63</v>
      </c>
      <c r="F6" s="2">
        <v>0</v>
      </c>
      <c r="G6" s="2">
        <v>0</v>
      </c>
      <c r="H6" s="3">
        <v>0</v>
      </c>
      <c r="I6" t="inlineStr">
        <is>
          <t>Yes</t>
        </is>
      </c>
    </row>
    <row r="7">
      <c r="A7" t="inlineStr">
        <is>
          <t>gBLovSpZ-Eo</t>
        </is>
      </c>
      <c r="B7" t="inlineStr">
        <is>
          <t>046｜【樂樂 Talk】為什麼孩子只要我讀？——孩子不肯自己讀，其實是最好的訊號｜S4E04</t>
        </is>
      </c>
      <c r="C7" t="inlineStr">
        <is>
          <t>05/12/2026</t>
        </is>
      </c>
      <c r="D7" s="4">
        <f>HYPERLINK("https://www.youtube.com/watch?v=gBLovSpZ-Eo","https://www.youtube.com/watch?v=gBLovSpZ-Eo")</f>
      </c>
      <c r="E7" s="2">
        <v>33</v>
      </c>
      <c r="F7" s="2">
        <v>1</v>
      </c>
      <c r="G7" s="2">
        <v>1</v>
      </c>
      <c r="H7" s="3">
        <v>0.0606</v>
      </c>
      <c r="I7" t="inlineStr">
        <is>
          <t>No</t>
        </is>
      </c>
    </row>
    <row r="8">
      <c r="A8" t="inlineStr">
        <is>
          <t>L7yqvCALW_I</t>
        </is>
      </c>
      <c r="B8" t="inlineStr">
        <is>
          <t>一次購入 300 本樂樂書，和一群家庭持續 2–3 年共讀，孩子在幸福的環境裡自然走向獨立閱讀 #shorts</t>
        </is>
      </c>
      <c r="C8" t="inlineStr">
        <is>
          <t>05/09/2026</t>
        </is>
      </c>
      <c r="D8" s="4">
        <f>HYPERLINK("https://www.youtube.com/watch?v=L7yqvCALW_I","https://www.youtube.com/watch?v=L7yqvCALW_I")</f>
      </c>
      <c r="E8" s="2">
        <v>64</v>
      </c>
      <c r="F8" s="2">
        <v>0</v>
      </c>
      <c r="G8" s="2">
        <v>0</v>
      </c>
      <c r="H8" s="3">
        <v>0</v>
      </c>
      <c r="I8" t="inlineStr">
        <is>
          <t>Yes</t>
        </is>
      </c>
    </row>
    <row r="9">
      <c r="A9" t="inlineStr">
        <is>
          <t>rIAHgQuHq2Q</t>
        </is>
      </c>
      <c r="B9" t="inlineStr">
        <is>
          <t>045｜【樂樂 Talk】每天10分鐘，夠嗎？——從跳繩實驗到三歲半突然自己讀完一本書｜S3E13</t>
        </is>
      </c>
      <c r="C9" t="inlineStr">
        <is>
          <t>05/05/2026</t>
        </is>
      </c>
      <c r="D9" s="4">
        <f>HYPERLINK("https://www.youtube.com/watch?v=rIAHgQuHq2Q","https://www.youtube.com/watch?v=rIAHgQuHq2Q")</f>
      </c>
      <c r="E9" s="2">
        <v>7</v>
      </c>
      <c r="F9" s="2">
        <v>0</v>
      </c>
      <c r="G9" s="2">
        <v>0</v>
      </c>
      <c r="H9" s="3">
        <v>0</v>
      </c>
      <c r="I9" t="inlineStr">
        <is>
          <t>No</t>
        </is>
      </c>
    </row>
    <row r="10">
      <c r="A10" t="inlineStr">
        <is>
          <t>NxeVOWfGP-k</t>
        </is>
      </c>
      <c r="B10" t="inlineStr">
        <is>
          <t>Untitled #shorts</t>
        </is>
      </c>
      <c r="C10" t="inlineStr">
        <is>
          <t>05/02/2026</t>
        </is>
      </c>
      <c r="D10" s="4">
        <f>HYPERLINK("https://www.youtube.com/watch?v=NxeVOWfGP-k","https://www.youtube.com/watch?v=NxeVOWfGP-k")</f>
      </c>
      <c r="E10" s="2">
        <v>109</v>
      </c>
      <c r="F10" s="2">
        <v>5</v>
      </c>
      <c r="G10" s="2">
        <v>0</v>
      </c>
      <c r="H10" s="3">
        <v>0.0459</v>
      </c>
      <c r="I10" t="inlineStr">
        <is>
          <t>Yes</t>
        </is>
      </c>
    </row>
    <row r="11">
      <c r="A11" t="inlineStr">
        <is>
          <t>Toc1mr7KORw</t>
        </is>
      </c>
      <c r="B11" t="inlineStr">
        <is>
          <t>044｜【樂樂 Talk】為什麼閱讀比會說更重要？——海外家庭守護中文最需要知道的一件事｜S403</t>
        </is>
      </c>
      <c r="C11" t="inlineStr">
        <is>
          <t>04/28/2026</t>
        </is>
      </c>
      <c r="D11" s="4">
        <f>HYPERLINK("https://www.youtube.com/watch?v=Toc1mr7KORw","https://www.youtube.com/watch?v=Toc1mr7KORw")</f>
      </c>
      <c r="E11" s="2">
        <v>75</v>
      </c>
      <c r="F11" s="2">
        <v>1</v>
      </c>
      <c r="G11" s="2">
        <v>0</v>
      </c>
      <c r="H11" s="3">
        <v>0.0133</v>
      </c>
      <c r="I11" t="inlineStr">
        <is>
          <t>No</t>
        </is>
      </c>
    </row>
    <row r="12">
      <c r="A12" t="inlineStr">
        <is>
          <t>SQ781eMsfG0</t>
        </is>
      </c>
      <c r="B12" t="inlineStr">
        <is>
          <t>🤔明明 6 歲前會雙語，為什麼一上學就不再說中文？ #shorts</t>
        </is>
      </c>
      <c r="C12" t="inlineStr">
        <is>
          <t>04/25/2026</t>
        </is>
      </c>
      <c r="D12" s="4">
        <f>HYPERLINK("https://www.youtube.com/watch?v=SQ781eMsfG0","https://www.youtube.com/watch?v=SQ781eMsfG0")</f>
      </c>
      <c r="E12" s="2">
        <v>157</v>
      </c>
      <c r="F12" s="2">
        <v>1</v>
      </c>
      <c r="G12" s="2">
        <v>0</v>
      </c>
      <c r="H12" s="3">
        <v>0.0064</v>
      </c>
      <c r="I12" t="inlineStr">
        <is>
          <t>Yes</t>
        </is>
      </c>
    </row>
    <row r="13">
      <c r="A13" t="inlineStr">
        <is>
          <t>CGnUHEeHlts</t>
        </is>
      </c>
      <c r="B13" t="inlineStr">
        <is>
          <t>043｜【樂樂 Talk】共讀挑戰存在的理由——不是為了完美達成，而是為了讓你不再一個人撐｜S3E13</t>
        </is>
      </c>
      <c r="C13" t="inlineStr">
        <is>
          <t>04/21/2026</t>
        </is>
      </c>
      <c r="D13" s="4">
        <f>HYPERLINK("https://www.youtube.com/watch?v=CGnUHEeHlts","https://www.youtube.com/watch?v=CGnUHEeHlts")</f>
      </c>
      <c r="E13" s="2">
        <v>67</v>
      </c>
      <c r="F13" s="2">
        <v>2</v>
      </c>
      <c r="G13" s="2">
        <v>0</v>
      </c>
      <c r="H13" s="3">
        <v>0.0299</v>
      </c>
      <c r="I13" t="inlineStr">
        <is>
          <t>No</t>
        </is>
      </c>
    </row>
    <row r="14">
      <c r="A14" t="inlineStr">
        <is>
          <t>HFMQYNCYQw8</t>
        </is>
      </c>
      <c r="B14" t="inlineStr">
        <is>
          <t>能講中文給孩子聽的，可能只有你。一旦錯過黃金期，中文就真的回不來。 💔 #shorts</t>
        </is>
      </c>
      <c r="C14" t="inlineStr">
        <is>
          <t>04/18/2026</t>
        </is>
      </c>
      <c r="D14" s="4">
        <f>HYPERLINK("https://www.youtube.com/watch?v=HFMQYNCYQw8","https://www.youtube.com/watch?v=HFMQYNCYQw8")</f>
      </c>
      <c r="E14" s="2">
        <v>38</v>
      </c>
      <c r="F14" s="2">
        <v>0</v>
      </c>
      <c r="G14" s="2">
        <v>0</v>
      </c>
      <c r="H14" s="3">
        <v>0</v>
      </c>
      <c r="I14" t="inlineStr">
        <is>
          <t>Yes</t>
        </is>
      </c>
    </row>
    <row r="15">
      <c r="A15" t="inlineStr">
        <is>
          <t>6kQxIMwsbKU</t>
        </is>
      </c>
      <c r="B15" t="inlineStr">
        <is>
          <t>042｜【樂樂 Talk】比較，會讓你忘記為什麼出發——寫給每個走得很累的海外家長｜S4E02</t>
        </is>
      </c>
      <c r="C15" t="inlineStr">
        <is>
          <t>04/14/2026</t>
        </is>
      </c>
      <c r="D15" s="4">
        <f>HYPERLINK("https://www.youtube.com/watch?v=6kQxIMwsbKU","https://www.youtube.com/watch?v=6kQxIMwsbKU")</f>
      </c>
      <c r="E15" s="2">
        <v>42</v>
      </c>
      <c r="F15" s="2">
        <v>2</v>
      </c>
      <c r="G15" s="2">
        <v>0</v>
      </c>
      <c r="H15" s="3">
        <v>0.0476</v>
      </c>
      <c r="I15" t="inlineStr">
        <is>
          <t>No</t>
        </is>
      </c>
    </row>
    <row r="16">
      <c r="A16" t="inlineStr">
        <is>
          <t>MY91MQwmI1A</t>
        </is>
      </c>
      <c r="B16" t="inlineStr">
        <is>
          <t>語言一旦失去，不只是工具的消失，還會在親子心裡的溝通上，再多拉開一層距離 #shorts</t>
        </is>
      </c>
      <c r="C16" t="inlineStr">
        <is>
          <t>04/11/2026</t>
        </is>
      </c>
      <c r="D16" s="4">
        <f>HYPERLINK("https://www.youtube.com/watch?v=MY91MQwmI1A","https://www.youtube.com/watch?v=MY91MQwmI1A")</f>
      </c>
      <c r="E16" s="2">
        <v>89</v>
      </c>
      <c r="F16" s="2">
        <v>0</v>
      </c>
      <c r="G16" s="2">
        <v>0</v>
      </c>
      <c r="H16" s="3">
        <v>0</v>
      </c>
      <c r="I16" t="inlineStr">
        <is>
          <t>Yes</t>
        </is>
      </c>
    </row>
    <row r="17">
      <c r="A17" t="inlineStr">
        <is>
          <t>dqYgH8is3JQ</t>
        </is>
      </c>
      <c r="B17" t="inlineStr">
        <is>
          <t>041｜【樂樂 Talk】不是缺資源，而是缺陪伴——海外家庭為什麼需要訂閱電子報？｜S3E12</t>
        </is>
      </c>
      <c r="C17" t="inlineStr">
        <is>
          <t>04/07/2026</t>
        </is>
      </c>
      <c r="D17" s="4">
        <f>HYPERLINK("https://www.youtube.com/watch?v=dqYgH8is3JQ","https://www.youtube.com/watch?v=dqYgH8is3JQ")</f>
      </c>
      <c r="E17" s="2">
        <v>12</v>
      </c>
      <c r="F17" s="2">
        <v>0</v>
      </c>
      <c r="G17" s="2">
        <v>0</v>
      </c>
      <c r="H17" s="3">
        <v>0</v>
      </c>
      <c r="I17" t="inlineStr">
        <is>
          <t>No</t>
        </is>
      </c>
    </row>
    <row r="18">
      <c r="A18" t="inlineStr">
        <is>
          <t>G8NUQP4Kf84</t>
        </is>
      </c>
      <c r="B18" t="inlineStr">
        <is>
          <t>了解自己的母語文化 讓孩子對自己的身份感到驕傲 #shorts</t>
        </is>
      </c>
      <c r="C18" t="inlineStr">
        <is>
          <t>04/04/2026</t>
        </is>
      </c>
      <c r="D18" s="4">
        <f>HYPERLINK("https://www.youtube.com/watch?v=G8NUQP4Kf84","https://www.youtube.com/watch?v=G8NUQP4Kf84")</f>
      </c>
      <c r="E18" s="2">
        <v>102</v>
      </c>
      <c r="F18" s="2">
        <v>0</v>
      </c>
      <c r="G18" s="2">
        <v>0</v>
      </c>
      <c r="H18" s="3">
        <v>0</v>
      </c>
      <c r="I18" t="inlineStr">
        <is>
          <t>Yes</t>
        </is>
      </c>
    </row>
    <row r="19">
      <c r="A19" t="inlineStr">
        <is>
          <t>QhEIUvMJso8</t>
        </is>
      </c>
      <c r="B19" t="inlineStr">
        <is>
          <t>040｜【樂樂 Talk】孩子聽得懂中文卻不說？比起教導，他們更需要的是「安全感」</t>
        </is>
      </c>
      <c r="C19" t="inlineStr">
        <is>
          <t>03/31/2026</t>
        </is>
      </c>
      <c r="D19" s="4">
        <f>HYPERLINK("https://www.youtube.com/watch?v=QhEIUvMJso8","https://www.youtube.com/watch?v=QhEIUvMJso8")</f>
      </c>
      <c r="E19" s="2">
        <v>21</v>
      </c>
      <c r="F19" s="2">
        <v>1</v>
      </c>
      <c r="G19" s="2">
        <v>0</v>
      </c>
      <c r="H19" s="3">
        <v>0.0476</v>
      </c>
      <c r="I19" t="inlineStr">
        <is>
          <t>No</t>
        </is>
      </c>
    </row>
    <row r="20">
      <c r="A20" t="inlineStr">
        <is>
          <t>aAzQfQmMr30</t>
        </is>
      </c>
      <c r="B20" t="inlineStr">
        <is>
          <t>語言不是天賦，而是輸入＋陪伴的奇蹟。❤️ #shorts</t>
        </is>
      </c>
      <c r="C20" t="inlineStr">
        <is>
          <t>03/28/2026</t>
        </is>
      </c>
      <c r="D20" s="4">
        <f>HYPERLINK("https://www.youtube.com/watch?v=aAzQfQmMr30","https://www.youtube.com/watch?v=aAzQfQmMr30")</f>
      </c>
      <c r="E20" s="2">
        <v>4</v>
      </c>
      <c r="F20" s="2">
        <v>0</v>
      </c>
      <c r="G20" s="2">
        <v>0</v>
      </c>
      <c r="H20" s="3">
        <v>0</v>
      </c>
      <c r="I20" t="inlineStr">
        <is>
          <t>Yes</t>
        </is>
      </c>
    </row>
    <row r="21">
      <c r="A21" t="inlineStr">
        <is>
          <t>cbWBjTNHMlg</t>
        </is>
      </c>
      <c r="B21" t="inlineStr">
        <is>
          <t>交給老師教中文，你就會錯過這些可愛又珍貴的時刻 #shorts</t>
        </is>
      </c>
      <c r="C21" t="inlineStr">
        <is>
          <t>03/21/2026</t>
        </is>
      </c>
      <c r="D21" s="4">
        <f>HYPERLINK("https://www.youtube.com/watch?v=cbWBjTNHMlg","https://www.youtube.com/watch?v=cbWBjTNHMlg")</f>
      </c>
      <c r="E21" s="2">
        <v>576</v>
      </c>
      <c r="F21" s="2">
        <v>4</v>
      </c>
      <c r="G21" s="2">
        <v>0</v>
      </c>
      <c r="H21" s="3">
        <v>0.0069</v>
      </c>
      <c r="I21" t="inlineStr">
        <is>
          <t>Yes</t>
        </is>
      </c>
    </row>
    <row r="22">
      <c r="A22" t="inlineStr">
        <is>
          <t>RmtECKEzgdk</t>
        </is>
      </c>
      <c r="B22" t="inlineStr">
        <is>
          <t>困難很多時候不是實際的，而是心理上的 #shorts</t>
        </is>
      </c>
      <c r="C22" t="inlineStr">
        <is>
          <t>03/14/2026</t>
        </is>
      </c>
      <c r="D22" s="4">
        <f>HYPERLINK("https://www.youtube.com/watch?v=RmtECKEzgdk","https://www.youtube.com/watch?v=RmtECKEzgdk")</f>
      </c>
      <c r="E22" s="2">
        <v>40</v>
      </c>
      <c r="F22" s="2">
        <v>1</v>
      </c>
      <c r="G22" s="2">
        <v>0</v>
      </c>
      <c r="H22" s="3">
        <v>0.025</v>
      </c>
      <c r="I22" t="inlineStr">
        <is>
          <t>Yes</t>
        </is>
      </c>
    </row>
    <row r="23">
      <c r="A23" t="inlineStr">
        <is>
          <t>RRiEw9GirF8</t>
        </is>
      </c>
      <c r="B23" t="inlineStr">
        <is>
          <t>📖 閱讀識字不一樣，孩子自己感興趣、自己想重複看的故事 #shorts</t>
        </is>
      </c>
      <c r="C23" t="inlineStr">
        <is>
          <t>03/07/2026</t>
        </is>
      </c>
      <c r="D23" s="4">
        <f>HYPERLINK("https://www.youtube.com/watch?v=RRiEw9GirF8","https://www.youtube.com/watch?v=RRiEw9GirF8")</f>
      </c>
      <c r="E23" s="2">
        <v>92</v>
      </c>
      <c r="F23" s="2">
        <v>0</v>
      </c>
      <c r="G23" s="2">
        <v>0</v>
      </c>
      <c r="H23" s="3">
        <v>0</v>
      </c>
      <c r="I23" t="inlineStr">
        <is>
          <t>Yes</t>
        </is>
      </c>
    </row>
    <row r="24">
      <c r="A24" t="inlineStr">
        <is>
          <t>k-Gvh-W3448</t>
        </is>
      </c>
      <c r="B24" t="inlineStr">
        <is>
          <t>閱讀能夠幫助孩子增加中文詞彙 #shorts</t>
        </is>
      </c>
      <c r="C24" t="inlineStr">
        <is>
          <t>02/28/2026</t>
        </is>
      </c>
      <c r="D24" s="4">
        <f>HYPERLINK("https://www.youtube.com/watch?v=k-Gvh-W3448","https://www.youtube.com/watch?v=k-Gvh-W3448")</f>
      </c>
      <c r="E24" s="2">
        <v>224</v>
      </c>
      <c r="F24" s="2">
        <v>2</v>
      </c>
      <c r="G24" s="2">
        <v>0</v>
      </c>
      <c r="H24" s="3">
        <v>0.0089</v>
      </c>
      <c r="I24" t="inlineStr">
        <is>
          <t>Yes</t>
        </is>
      </c>
    </row>
    <row r="25">
      <c r="A25" t="inlineStr">
        <is>
          <t>DNlMgiRfvVI</t>
        </is>
      </c>
      <c r="B25" t="inlineStr">
        <is>
          <t>慢下來，孩子才跟得上你。 #shorts</t>
        </is>
      </c>
      <c r="C25" t="inlineStr">
        <is>
          <t>02/26/2026</t>
        </is>
      </c>
      <c r="D25" s="4">
        <f>HYPERLINK("https://www.youtube.com/watch?v=DNlMgiRfvVI","https://www.youtube.com/watch?v=DNlMgiRfvVI")</f>
      </c>
      <c r="E25" s="2">
        <v>83</v>
      </c>
      <c r="F25" s="2">
        <v>0</v>
      </c>
      <c r="G25" s="2">
        <v>0</v>
      </c>
      <c r="H25" s="3">
        <v>0</v>
      </c>
      <c r="I25" t="inlineStr">
        <is>
          <t>Yes</t>
        </is>
      </c>
    </row>
    <row r="26">
      <c r="A26" t="inlineStr">
        <is>
          <t>tATGsjDBIho</t>
        </is>
      </c>
      <c r="B26" t="inlineStr">
        <is>
          <t>親子共讀不是功課，而是點燃孩子 內在動力 的機會 🚗 #shorts</t>
        </is>
      </c>
      <c r="C26" t="inlineStr">
        <is>
          <t>02/21/2026</t>
        </is>
      </c>
      <c r="D26" s="4">
        <f>HYPERLINK("https://www.youtube.com/watch?v=tATGsjDBIho","https://www.youtube.com/watch?v=tATGsjDBIho")</f>
      </c>
      <c r="E26" s="2">
        <v>271</v>
      </c>
      <c r="F26" s="2">
        <v>0</v>
      </c>
      <c r="G26" s="2">
        <v>0</v>
      </c>
      <c r="H26" s="3">
        <v>0</v>
      </c>
      <c r="I26" t="inlineStr">
        <is>
          <t>Yes</t>
        </is>
      </c>
    </row>
    <row r="27">
      <c r="A27" t="inlineStr">
        <is>
          <t>156lKiWLNpc</t>
        </is>
      </c>
      <c r="B27" t="inlineStr">
        <is>
          <t>孩子最需要的不是補習班而是一個願意陪他聊天陪他過日子的爸媽 #shorts</t>
        </is>
      </c>
      <c r="C27" t="inlineStr">
        <is>
          <t>02/19/2026</t>
        </is>
      </c>
      <c r="D27" s="4">
        <f>HYPERLINK("https://www.youtube.com/watch?v=156lKiWLNpc","https://www.youtube.com/watch?v=156lKiWLNpc")</f>
      </c>
      <c r="E27" s="2">
        <v>346</v>
      </c>
      <c r="F27" s="2">
        <v>2</v>
      </c>
      <c r="G27" s="2">
        <v>0</v>
      </c>
      <c r="H27" s="3">
        <v>0.0058</v>
      </c>
      <c r="I27" t="inlineStr">
        <is>
          <t>Yes</t>
        </is>
      </c>
    </row>
    <row r="28">
      <c r="A28" t="inlineStr">
        <is>
          <t>rsikARYbt_k</t>
        </is>
      </c>
      <c r="B28" t="inlineStr">
        <is>
          <t>臘月二十三到二十九的習俗 #shorts</t>
        </is>
      </c>
      <c r="C28" t="inlineStr">
        <is>
          <t>02/16/2026</t>
        </is>
      </c>
      <c r="D28" s="4">
        <f>HYPERLINK("https://www.youtube.com/watch?v=rsikARYbt_k","https://www.youtube.com/watch?v=rsikARYbt_k")</f>
      </c>
      <c r="E28" s="2">
        <v>439</v>
      </c>
      <c r="F28" s="2">
        <v>2</v>
      </c>
      <c r="G28" s="2">
        <v>0</v>
      </c>
      <c r="H28" s="3">
        <v>0.0046</v>
      </c>
      <c r="I28" t="inlineStr">
        <is>
          <t>Yes</t>
        </is>
      </c>
    </row>
    <row r="29">
      <c r="A29" t="inlineStr">
        <is>
          <t>fqd1rkZOBXI</t>
        </is>
      </c>
      <c r="B29" t="inlineStr">
        <is>
          <t>Lunar New Year overseas can feel quiet.</t>
        </is>
      </c>
      <c r="C29" t="inlineStr">
        <is>
          <t>02/14/2026</t>
        </is>
      </c>
      <c r="D29" s="4">
        <f>HYPERLINK("https://www.youtube.com/watch?v=fqd1rkZOBXI","https://www.youtube.com/watch?v=fqd1rkZOBXI")</f>
      </c>
      <c r="E29" s="2">
        <v>4</v>
      </c>
      <c r="F29" s="2">
        <v>0</v>
      </c>
      <c r="G29" s="2">
        <v>0</v>
      </c>
      <c r="H29" s="3">
        <v>0</v>
      </c>
      <c r="I29" t="inlineStr">
        <is>
          <t>No</t>
        </is>
      </c>
    </row>
    <row r="30">
      <c r="A30" t="inlineStr">
        <is>
          <t>4KwbOuflvnM</t>
        </is>
      </c>
      <c r="B30" t="inlineStr">
        <is>
          <t>無壓力無目的只因為喜歡  #shorts</t>
        </is>
      </c>
      <c r="C30" t="inlineStr">
        <is>
          <t>02/14/2026</t>
        </is>
      </c>
      <c r="D30" s="4">
        <f>HYPERLINK("https://www.youtube.com/watch?v=4KwbOuflvnM","https://www.youtube.com/watch?v=4KwbOuflvnM")</f>
      </c>
      <c r="E30" s="2">
        <v>216</v>
      </c>
      <c r="F30" s="2">
        <v>1</v>
      </c>
      <c r="G30" s="2">
        <v>0</v>
      </c>
      <c r="H30" s="3">
        <v>0.0046</v>
      </c>
      <c r="I30" t="inlineStr">
        <is>
          <t>Yes</t>
        </is>
      </c>
    </row>
    <row r="31">
      <c r="A31" t="inlineStr">
        <is>
          <t>YOQ_YMDduG4</t>
        </is>
      </c>
      <c r="B31" t="inlineStr">
        <is>
          <t>語言不是命令而是互動 #shorts</t>
        </is>
      </c>
      <c r="C31" t="inlineStr">
        <is>
          <t>02/12/2026</t>
        </is>
      </c>
      <c r="D31" s="4">
        <f>HYPERLINK("https://www.youtube.com/watch?v=YOQ_YMDduG4","https://www.youtube.com/watch?v=YOQ_YMDduG4")</f>
      </c>
      <c r="E31" s="2">
        <v>278</v>
      </c>
      <c r="F31" s="2">
        <v>1</v>
      </c>
      <c r="G31" s="2">
        <v>0</v>
      </c>
      <c r="H31" s="3">
        <v>0.0036</v>
      </c>
      <c r="I31" t="inlineStr">
        <is>
          <t>Yes</t>
        </is>
      </c>
    </row>
    <row r="32">
      <c r="A32" t="inlineStr">
        <is>
          <t>COr7Y8WQolA</t>
        </is>
      </c>
      <c r="B32" t="inlineStr">
        <is>
          <t>我的母語是什麼 #shorts</t>
        </is>
      </c>
      <c r="C32" t="inlineStr">
        <is>
          <t>02/07/2026</t>
        </is>
      </c>
      <c r="D32" s="4">
        <f>HYPERLINK("https://www.youtube.com/watch?v=COr7Y8WQolA","https://www.youtube.com/watch?v=COr7Y8WQolA")</f>
      </c>
      <c r="E32" s="2">
        <v>1115</v>
      </c>
      <c r="F32" s="2">
        <v>8</v>
      </c>
      <c r="G32" s="2">
        <v>5</v>
      </c>
      <c r="H32" s="3">
        <v>0.0117</v>
      </c>
      <c r="I32" t="inlineStr">
        <is>
          <t>Yes</t>
        </is>
      </c>
    </row>
    <row r="33">
      <c r="A33" t="inlineStr">
        <is>
          <t>v-UeHLv5PPE</t>
        </is>
      </c>
      <c r="B33" t="inlineStr">
        <is>
          <t>樂樂親子讀書會  孩子們有人聽有人回應中文自然就說出口 #shorts</t>
        </is>
      </c>
      <c r="C33" t="inlineStr">
        <is>
          <t>02/05/2026</t>
        </is>
      </c>
      <c r="D33" s="4">
        <f>HYPERLINK("https://www.youtube.com/watch?v=v-UeHLv5PPE","https://www.youtube.com/watch?v=v-UeHLv5PPE")</f>
      </c>
      <c r="E33" s="2">
        <v>700</v>
      </c>
      <c r="F33" s="2">
        <v>3</v>
      </c>
      <c r="G33" s="2">
        <v>0</v>
      </c>
      <c r="H33" s="3">
        <v>0.0043</v>
      </c>
      <c r="I33" t="inlineStr">
        <is>
          <t>Yes</t>
        </is>
      </c>
    </row>
    <row r="34">
      <c r="A34" t="inlineStr">
        <is>
          <t>0kqFdl85Ovw</t>
        </is>
      </c>
      <c r="B34" t="inlineStr">
        <is>
          <t>真正重要的不是字數而是他能不能讀懂故事 #shorts</t>
        </is>
      </c>
      <c r="C34" t="inlineStr">
        <is>
          <t>01/31/2026</t>
        </is>
      </c>
      <c r="D34" s="4">
        <f>HYPERLINK("https://www.youtube.com/watch?v=0kqFdl85Ovw","https://www.youtube.com/watch?v=0kqFdl85Ovw")</f>
      </c>
      <c r="E34" s="2">
        <v>978</v>
      </c>
      <c r="F34" s="2">
        <v>5</v>
      </c>
      <c r="G34" s="2">
        <v>0</v>
      </c>
      <c r="H34" s="3">
        <v>0.0051</v>
      </c>
      <c r="I34" t="inlineStr">
        <is>
          <t>Yes</t>
        </is>
      </c>
    </row>
    <row r="35">
      <c r="A35" t="inlineStr">
        <is>
          <t>5JMh-u137xw</t>
        </is>
      </c>
      <c r="B35" t="inlineStr">
        <is>
          <t>孩子先在故事裡聽懂整句再透過重複自然記住字 #shorts</t>
        </is>
      </c>
      <c r="C35" t="inlineStr">
        <is>
          <t>01/29/2026</t>
        </is>
      </c>
      <c r="D35" s="4">
        <f>HYPERLINK("https://www.youtube.com/watch?v=5JMh-u137xw","https://www.youtube.com/watch?v=5JMh-u137xw")</f>
      </c>
      <c r="E35" s="2">
        <v>70</v>
      </c>
      <c r="F35" s="2">
        <v>0</v>
      </c>
      <c r="G35" s="2">
        <v>0</v>
      </c>
      <c r="H35" s="3">
        <v>0</v>
      </c>
      <c r="I35" t="inlineStr">
        <is>
          <t>Yes</t>
        </is>
      </c>
    </row>
    <row r="36">
      <c r="A36" t="inlineStr">
        <is>
          <t>uXXsvJp9qVY</t>
        </is>
      </c>
      <c r="B36" t="inlineStr">
        <is>
          <t>中文不是一夕之功而是每天一點一滴的累積 #shorts</t>
        </is>
      </c>
      <c r="C36" t="inlineStr">
        <is>
          <t>01/24/2026</t>
        </is>
      </c>
      <c r="D36" s="4">
        <f>HYPERLINK("https://www.youtube.com/watch?v=uXXsvJp9qVY","https://www.youtube.com/watch?v=uXXsvJp9qVY")</f>
      </c>
      <c r="E36" s="2">
        <v>180</v>
      </c>
      <c r="F36" s="2">
        <v>0</v>
      </c>
      <c r="G36" s="2">
        <v>0</v>
      </c>
      <c r="H36" s="3">
        <v>0</v>
      </c>
      <c r="I36" t="inlineStr">
        <is>
          <t>Yes</t>
        </is>
      </c>
    </row>
    <row r="37">
      <c r="A37" t="inlineStr">
        <is>
          <t>Oi1GS6VapWE</t>
        </is>
      </c>
      <c r="B37" t="inlineStr">
        <is>
          <t>Iris別糾結孩子有沒有指讀讀對聲音有時候他眼睛已經懂了只是嘴巴還跟不上 #shorts</t>
        </is>
      </c>
      <c r="C37" t="inlineStr">
        <is>
          <t>01/17/2026</t>
        </is>
      </c>
      <c r="D37" s="4">
        <f>HYPERLINK("https://www.youtube.com/watch?v=Oi1GS6VapWE","https://www.youtube.com/watch?v=Oi1GS6VapWE")</f>
      </c>
      <c r="E37" s="2">
        <v>127</v>
      </c>
      <c r="F37" s="2">
        <v>0</v>
      </c>
      <c r="G37" s="2">
        <v>0</v>
      </c>
      <c r="H37" s="3">
        <v>0</v>
      </c>
      <c r="I37" t="inlineStr">
        <is>
          <t>Yes</t>
        </is>
      </c>
    </row>
    <row r="38">
      <c r="A38" t="inlineStr">
        <is>
          <t>tEPnXhdLNJE</t>
        </is>
      </c>
      <c r="B38" t="inlineStr">
        <is>
          <t>Untitled #shorts</t>
        </is>
      </c>
      <c r="C38" t="inlineStr">
        <is>
          <t>01/15/2026</t>
        </is>
      </c>
      <c r="D38" s="4">
        <f>HYPERLINK("https://www.youtube.com/watch?v=tEPnXhdLNJE","https://www.youtube.com/watch?v=tEPnXhdLNJE")</f>
      </c>
      <c r="E38" s="2">
        <v>91</v>
      </c>
      <c r="F38" s="2">
        <v>0</v>
      </c>
      <c r="G38" s="2">
        <v>0</v>
      </c>
      <c r="H38" s="3">
        <v>0</v>
      </c>
      <c r="I38" t="inlineStr">
        <is>
          <t>Yes</t>
        </is>
      </c>
    </row>
    <row r="39">
      <c r="A39" t="inlineStr">
        <is>
          <t>Xb8wSpTmcOU</t>
        </is>
      </c>
      <c r="B39" t="inlineStr">
        <is>
          <t>提供孩子學習環境, 給孩子成長的空間</t>
        </is>
      </c>
      <c r="C39" t="inlineStr">
        <is>
          <t>01/12/2026</t>
        </is>
      </c>
      <c r="D39" s="4">
        <f>HYPERLINK("https://www.youtube.com/watch?v=Xb8wSpTmcOU","https://www.youtube.com/watch?v=Xb8wSpTmcOU")</f>
      </c>
      <c r="E39" s="2">
        <v>80</v>
      </c>
      <c r="F39" s="2">
        <v>0</v>
      </c>
      <c r="G39" s="2">
        <v>0</v>
      </c>
      <c r="H39" s="3">
        <v>0</v>
      </c>
      <c r="I39" t="inlineStr">
        <is>
          <t>No</t>
        </is>
      </c>
    </row>
    <row r="40">
      <c r="A40" t="inlineStr">
        <is>
          <t>fMv8LZmuG8Y</t>
        </is>
      </c>
      <c r="B40" t="inlineStr">
        <is>
          <t>樂樂書的編排有很多細節能讓孩子一讀再讀, 每次都有新發現</t>
        </is>
      </c>
      <c r="C40" t="inlineStr">
        <is>
          <t>01/12/2026</t>
        </is>
      </c>
      <c r="D40" s="4">
        <f>HYPERLINK("https://www.youtube.com/watch?v=fMv8LZmuG8Y","https://www.youtube.com/watch?v=fMv8LZmuG8Y")</f>
      </c>
      <c r="E40" s="2">
        <v>10</v>
      </c>
      <c r="F40" s="2">
        <v>0</v>
      </c>
      <c r="G40" s="2">
        <v>0</v>
      </c>
      <c r="H40" s="3">
        <v>0</v>
      </c>
      <c r="I40" t="inlineStr">
        <is>
          <t>No</t>
        </is>
      </c>
    </row>
    <row r="41">
      <c r="A41" t="inlineStr">
        <is>
          <t>FEVbfZa_8bo</t>
        </is>
      </c>
      <c r="B41" t="inlineStr">
        <is>
          <t>母語是連結父母與孩子內心的一道橋</t>
        </is>
      </c>
      <c r="C41" t="inlineStr">
        <is>
          <t>01/12/2026</t>
        </is>
      </c>
      <c r="D41" s="4">
        <f>HYPERLINK("https://www.youtube.com/watch?v=FEVbfZa_8bo","https://www.youtube.com/watch?v=FEVbfZa_8bo")</f>
      </c>
      <c r="E41" s="2">
        <v>50</v>
      </c>
      <c r="F41" s="2">
        <v>0</v>
      </c>
      <c r="G41" s="2">
        <v>0</v>
      </c>
      <c r="H41" s="3">
        <v>0</v>
      </c>
      <c r="I41" t="inlineStr">
        <is>
          <t>No</t>
        </is>
      </c>
    </row>
    <row r="42">
      <c r="A42" t="inlineStr">
        <is>
          <t>QzYo0YtN424</t>
        </is>
      </c>
      <c r="B42" t="inlineStr">
        <is>
          <t>用故事書有趣的內容來驅使孩子主動閱讀</t>
        </is>
      </c>
      <c r="C42" t="inlineStr">
        <is>
          <t>01/12/2026</t>
        </is>
      </c>
      <c r="D42" s="4">
        <f>HYPERLINK("https://www.youtube.com/watch?v=QzYo0YtN424","https://www.youtube.com/watch?v=QzYo0YtN424")</f>
      </c>
      <c r="E42" s="2">
        <v>101</v>
      </c>
      <c r="F42" s="2">
        <v>1</v>
      </c>
      <c r="G42" s="2">
        <v>0</v>
      </c>
      <c r="H42" s="3">
        <v>0.0099</v>
      </c>
      <c r="I42" t="inlineStr">
        <is>
          <t>No</t>
        </is>
      </c>
    </row>
    <row r="43">
      <c r="A43" t="inlineStr">
        <is>
          <t>4iFdEAlDjsg</t>
        </is>
      </c>
      <c r="B43" t="inlineStr">
        <is>
          <t>樂樂書裡紅59 媽媽的故事連結家長與孩子的溫馨回憶</t>
        </is>
      </c>
      <c r="C43" t="inlineStr">
        <is>
          <t>01/12/2026</t>
        </is>
      </c>
      <c r="D43" s="4">
        <f>HYPERLINK("https://www.youtube.com/watch?v=4iFdEAlDjsg","https://www.youtube.com/watch?v=4iFdEAlDjsg")</f>
      </c>
      <c r="E43" s="2">
        <v>13</v>
      </c>
      <c r="F43" s="2">
        <v>0</v>
      </c>
      <c r="G43" s="2">
        <v>0</v>
      </c>
      <c r="H43" s="3">
        <v>0</v>
      </c>
      <c r="I43" t="inlineStr">
        <is>
          <t>No</t>
        </is>
      </c>
    </row>
    <row r="44">
      <c r="A44" t="inlineStr">
        <is>
          <t>R5EPlLtmDFU</t>
        </is>
      </c>
      <c r="B44" t="inlineStr">
        <is>
          <t>從小開始培養閱讀習慣, 養成孩子學習的內趨力</t>
        </is>
      </c>
      <c r="C44" t="inlineStr">
        <is>
          <t>01/12/2026</t>
        </is>
      </c>
      <c r="D44" s="4">
        <f>HYPERLINK("https://www.youtube.com/watch?v=R5EPlLtmDFU","https://www.youtube.com/watch?v=R5EPlLtmDFU")</f>
      </c>
      <c r="E44" s="2">
        <v>1</v>
      </c>
      <c r="F44" s="2">
        <v>0</v>
      </c>
      <c r="G44" s="2">
        <v>0</v>
      </c>
      <c r="H44" s="3">
        <v>0</v>
      </c>
      <c r="I44" t="inlineStr">
        <is>
          <t>No</t>
        </is>
      </c>
    </row>
    <row r="45">
      <c r="A45" t="inlineStr">
        <is>
          <t>Ho-BKFw-4TU</t>
        </is>
      </c>
      <c r="B45" t="inlineStr">
        <is>
          <t>Peggy 學習母語能幫助孩子建立身份認同 #shorts</t>
        </is>
      </c>
      <c r="C45" t="inlineStr">
        <is>
          <t>01/10/2026</t>
        </is>
      </c>
      <c r="D45" s="4">
        <f>HYPERLINK("https://www.youtube.com/watch?v=Ho-BKFw-4TU","https://www.youtube.com/watch?v=Ho-BKFw-4TU")</f>
      </c>
      <c r="E45" s="2">
        <v>155</v>
      </c>
      <c r="F45" s="2">
        <v>0</v>
      </c>
      <c r="G45" s="2">
        <v>0</v>
      </c>
      <c r="H45" s="3">
        <v>0</v>
      </c>
      <c r="I45" t="inlineStr">
        <is>
          <t>Yes</t>
        </is>
      </c>
    </row>
    <row r="46">
      <c r="A46" t="inlineStr">
        <is>
          <t>lmCPb9D-8ew</t>
        </is>
      </c>
      <c r="B46" t="inlineStr">
        <is>
          <t>語言是文化的載體是孩子與根連結的橋樑 #shorts</t>
        </is>
      </c>
      <c r="C46" t="inlineStr">
        <is>
          <t>01/08/2026</t>
        </is>
      </c>
      <c r="D46" s="4">
        <f>HYPERLINK("https://www.youtube.com/watch?v=lmCPb9D-8ew","https://www.youtube.com/watch?v=lmCPb9D-8ew")</f>
      </c>
      <c r="E46" s="2">
        <v>679</v>
      </c>
      <c r="F46" s="2">
        <v>5</v>
      </c>
      <c r="G46" s="2">
        <v>0</v>
      </c>
      <c r="H46" s="3">
        <v>0.0074</v>
      </c>
      <c r="I46" t="inlineStr">
        <is>
          <t>Yes</t>
        </is>
      </c>
    </row>
    <row r="47">
      <c r="A47" t="inlineStr">
        <is>
          <t>emScxUjYlR8</t>
        </is>
      </c>
      <c r="B47" t="inlineStr">
        <is>
          <t>如果你正在找一個能走得久的中文起點</t>
        </is>
      </c>
      <c r="C47" t="inlineStr">
        <is>
          <t>01/03/2026</t>
        </is>
      </c>
      <c r="D47" s="4">
        <f>HYPERLINK("https://www.youtube.com/watch?v=emScxUjYlR8","https://www.youtube.com/watch?v=emScxUjYlR8")</f>
      </c>
      <c r="E47" s="2">
        <v>65</v>
      </c>
      <c r="F47" s="2">
        <v>0</v>
      </c>
      <c r="G47" s="2">
        <v>0</v>
      </c>
      <c r="H47" s="3">
        <v>0</v>
      </c>
      <c r="I47" t="inlineStr">
        <is>
          <t>No</t>
        </is>
      </c>
    </row>
    <row r="48">
      <c r="A48" t="inlineStr">
        <is>
          <t>2YXUzg9R--c</t>
        </is>
      </c>
      <c r="B48" t="inlineStr">
        <is>
          <t>如何在海外創造必須用中文的環境 #shorts</t>
        </is>
      </c>
      <c r="C48" t="inlineStr">
        <is>
          <t>01/03/2026</t>
        </is>
      </c>
      <c r="D48" s="4">
        <f>HYPERLINK("https://www.youtube.com/watch?v=2YXUzg9R--c","https://www.youtube.com/watch?v=2YXUzg9R--c")</f>
      </c>
      <c r="E48" s="2">
        <v>1109</v>
      </c>
      <c r="F48" s="2">
        <v>3</v>
      </c>
      <c r="G48" s="2">
        <v>0</v>
      </c>
      <c r="H48" s="3">
        <v>0.0027</v>
      </c>
      <c r="I48" t="inlineStr">
        <is>
          <t>Yes</t>
        </is>
      </c>
    </row>
    <row r="49">
      <c r="A49" t="inlineStr">
        <is>
          <t>8RA7VSaicpg</t>
        </is>
      </c>
      <c r="B49" t="inlineStr">
        <is>
          <t>039｜【樂樂 Talk】我不是讀書的料——Ting 如何從不愛閱讀，走到書蟲一家的真實故事｜S1E16</t>
        </is>
      </c>
      <c r="C49" t="inlineStr">
        <is>
          <t>12/30/2025</t>
        </is>
      </c>
      <c r="D49" s="4">
        <f>HYPERLINK("https://www.youtube.com/watch?v=8RA7VSaicpg","https://www.youtube.com/watch?v=8RA7VSaicpg")</f>
      </c>
      <c r="E49" s="2">
        <v>36</v>
      </c>
      <c r="F49" s="2">
        <v>1</v>
      </c>
      <c r="G49" s="2">
        <v>0</v>
      </c>
      <c r="H49" s="3">
        <v>0.0278</v>
      </c>
      <c r="I49" t="inlineStr">
        <is>
          <t>No</t>
        </is>
      </c>
    </row>
    <row r="50">
      <c r="A50" t="inlineStr">
        <is>
          <t>MPw_QotGKng</t>
        </is>
      </c>
      <c r="B50" t="inlineStr">
        <is>
          <t>力玄華語對我的家族其實是外來語 #shorts</t>
        </is>
      </c>
      <c r="C50" t="inlineStr">
        <is>
          <t>12/27/2025</t>
        </is>
      </c>
      <c r="D50" s="4">
        <f>HYPERLINK("https://www.youtube.com/watch?v=MPw_QotGKng","https://www.youtube.com/watch?v=MPw_QotGKng")</f>
      </c>
      <c r="E50" s="2">
        <v>1184</v>
      </c>
      <c r="F50" s="2">
        <v>12</v>
      </c>
      <c r="G50" s="2">
        <v>3</v>
      </c>
      <c r="H50" s="3">
        <v>0.0127</v>
      </c>
      <c r="I50" t="inlineStr">
        <is>
          <t>Yes</t>
        </is>
      </c>
    </row>
    <row r="51">
      <c r="A51" t="inlineStr">
        <is>
          <t>t7ZQGroTrjQ</t>
        </is>
      </c>
      <c r="B51" t="inlineStr">
        <is>
          <t>038｜【樂樂 Talk】搬去英國前，她把整套樂樂書一起帶走——Carmen 談在沒有中文語境的異國，如何為孩子打造穩定的閱讀環境｜S1E15</t>
        </is>
      </c>
      <c r="C51" t="inlineStr">
        <is>
          <t>12/23/2025</t>
        </is>
      </c>
      <c r="D51" s="4">
        <f>HYPERLINK("https://www.youtube.com/watch?v=t7ZQGroTrjQ","https://www.youtube.com/watch?v=t7ZQGroTrjQ")</f>
      </c>
      <c r="E51" s="2">
        <v>12</v>
      </c>
      <c r="F51" s="2">
        <v>0</v>
      </c>
      <c r="G51" s="2">
        <v>0</v>
      </c>
      <c r="H51" s="3">
        <v>0</v>
      </c>
      <c r="I51" t="inlineStr">
        <is>
          <t>No</t>
        </is>
      </c>
    </row>
    <row r="52">
      <c r="A52" t="inlineStr">
        <is>
          <t>tJ1sxf6SZlM</t>
        </is>
      </c>
      <c r="B52" t="inlineStr">
        <is>
          <t>Michelle 的孩子正在同時學廣東話和普通話 #shorts</t>
        </is>
      </c>
      <c r="C52" t="inlineStr">
        <is>
          <t>12/20/2025</t>
        </is>
      </c>
      <c r="D52" s="4">
        <f>HYPERLINK("https://www.youtube.com/watch?v=tJ1sxf6SZlM","https://www.youtube.com/watch?v=tJ1sxf6SZlM")</f>
      </c>
      <c r="E52" s="2">
        <v>403</v>
      </c>
      <c r="F52" s="2">
        <v>4</v>
      </c>
      <c r="G52" s="2">
        <v>0</v>
      </c>
      <c r="H52" s="3">
        <v>0.0099</v>
      </c>
      <c r="I52" t="inlineStr">
        <is>
          <t>Yes</t>
        </is>
      </c>
    </row>
    <row r="53">
      <c r="A53" t="inlineStr">
        <is>
          <t>oyk8-qEYwgo</t>
        </is>
      </c>
      <c r="B53" t="inlineStr">
        <is>
          <t>中文不用死背它可以透過故事語感陪伴自然長出來 #shorts</t>
        </is>
      </c>
      <c r="C53" t="inlineStr">
        <is>
          <t>12/18/2025</t>
        </is>
      </c>
      <c r="D53" s="4">
        <f>HYPERLINK("https://www.youtube.com/watch?v=oyk8-qEYwgo","https://www.youtube.com/watch?v=oyk8-qEYwgo")</f>
      </c>
      <c r="E53" s="2">
        <v>78</v>
      </c>
      <c r="F53" s="2">
        <v>0</v>
      </c>
      <c r="G53" s="2">
        <v>0</v>
      </c>
      <c r="H53" s="3">
        <v>0</v>
      </c>
      <c r="I53" t="inlineStr">
        <is>
          <t>Yes</t>
        </is>
      </c>
    </row>
    <row r="54">
      <c r="A54" t="inlineStr">
        <is>
          <t>t7CnGcQd7GY</t>
        </is>
      </c>
      <c r="B54" t="inlineStr">
        <is>
          <t>孩子接觸中文的機會會越來越少久了就失去能力 #shorts</t>
        </is>
      </c>
      <c r="C54" t="inlineStr">
        <is>
          <t>12/13/2025</t>
        </is>
      </c>
      <c r="D54" s="4">
        <f>HYPERLINK("https://www.youtube.com/watch?v=t7CnGcQd7GY","https://www.youtube.com/watch?v=t7CnGcQd7GY")</f>
      </c>
      <c r="E54" s="2">
        <v>116</v>
      </c>
      <c r="F54" s="2">
        <v>0</v>
      </c>
      <c r="G54" s="2">
        <v>0</v>
      </c>
      <c r="H54" s="3">
        <v>0</v>
      </c>
      <c r="I54" t="inlineStr">
        <is>
          <t>Yes</t>
        </is>
      </c>
    </row>
    <row r="55">
      <c r="A55" t="inlineStr">
        <is>
          <t>M7uq5R98q8M</t>
        </is>
      </c>
      <c r="B55" t="inlineStr">
        <is>
          <t>孩子從不會到愛讀中文其實有方法 #shorts</t>
        </is>
      </c>
      <c r="C55" t="inlineStr">
        <is>
          <t>12/11/2025</t>
        </is>
      </c>
      <c r="D55" s="4">
        <f>HYPERLINK("https://www.youtube.com/watch?v=M7uq5R98q8M","https://www.youtube.com/watch?v=M7uq5R98q8M")</f>
      </c>
      <c r="E55" s="2">
        <v>105</v>
      </c>
      <c r="F55" s="2">
        <v>1</v>
      </c>
      <c r="G55" s="2">
        <v>0</v>
      </c>
      <c r="H55" s="3">
        <v>0.0095</v>
      </c>
      <c r="I55" t="inlineStr">
        <is>
          <t>Yes</t>
        </is>
      </c>
    </row>
    <row r="56">
      <c r="A56" t="inlineStr">
        <is>
          <t>As_rvS90u0U</t>
        </is>
      </c>
      <c r="B56" t="inlineStr">
        <is>
          <t>沒有一個更好的老師因為父母就是最好的老師  #shorts</t>
        </is>
      </c>
      <c r="C56" t="inlineStr">
        <is>
          <t>12/06/2025</t>
        </is>
      </c>
      <c r="D56" s="4">
        <f>HYPERLINK("https://www.youtube.com/watch?v=As_rvS90u0U","https://www.youtube.com/watch?v=As_rvS90u0U")</f>
      </c>
      <c r="E56" s="2">
        <v>1026</v>
      </c>
      <c r="F56" s="2">
        <v>7</v>
      </c>
      <c r="G56" s="2">
        <v>0</v>
      </c>
      <c r="H56" s="3">
        <v>0.0068</v>
      </c>
      <c r="I56" t="inlineStr">
        <is>
          <t>Yes</t>
        </is>
      </c>
    </row>
    <row r="57">
      <c r="A57" t="inlineStr">
        <is>
          <t>yw_bDT7gSt0</t>
        </is>
      </c>
      <c r="B57" t="inlineStr">
        <is>
          <t>BLACK FRIDAY PRESALE ENDS SOON #shorts</t>
        </is>
      </c>
      <c r="C57" t="inlineStr">
        <is>
          <t>12/02/2025</t>
        </is>
      </c>
      <c r="D57" s="4">
        <f>HYPERLINK("https://www.youtube.com/watch?v=yw_bDT7gSt0","https://www.youtube.com/watch?v=yw_bDT7gSt0")</f>
      </c>
      <c r="E57" s="2">
        <v>50</v>
      </c>
      <c r="F57" s="2">
        <v>0</v>
      </c>
      <c r="G57" s="2">
        <v>0</v>
      </c>
      <c r="H57" s="3">
        <v>0</v>
      </c>
      <c r="I57" t="inlineStr">
        <is>
          <t>Yes</t>
        </is>
      </c>
    </row>
    <row r="58">
      <c r="A58" t="inlineStr">
        <is>
          <t>gOBRGn0_VX4</t>
        </is>
      </c>
      <c r="B58" t="inlineStr">
        <is>
          <t>Black Friday Presale #shorts</t>
        </is>
      </c>
      <c r="C58" t="inlineStr">
        <is>
          <t>11/29/2025</t>
        </is>
      </c>
      <c r="D58" s="4">
        <f>HYPERLINK("https://www.youtube.com/watch?v=gOBRGn0_VX4","https://www.youtube.com/watch?v=gOBRGn0_VX4")</f>
      </c>
      <c r="E58" s="2">
        <v>197</v>
      </c>
      <c r="F58" s="2">
        <v>0</v>
      </c>
      <c r="G58" s="2">
        <v>0</v>
      </c>
      <c r="H58" s="3">
        <v>0</v>
      </c>
      <c r="I58" t="inlineStr">
        <is>
          <t>Yes</t>
        </is>
      </c>
    </row>
    <row r="59">
      <c r="A59" t="inlineStr">
        <is>
          <t>ymINFPXWByw</t>
        </is>
      </c>
      <c r="B59" t="inlineStr">
        <is>
          <t>🎬【聖誕節倒數共讀 開始前先看影片！】</t>
        </is>
      </c>
      <c r="C59" t="inlineStr">
        <is>
          <t>11/29/2025</t>
        </is>
      </c>
      <c r="D59" s="4">
        <f>HYPERLINK("https://www.youtube.com/watch?v=ymINFPXWByw","https://www.youtube.com/watch?v=ymINFPXWByw")</f>
      </c>
      <c r="E59" s="2">
        <v>3</v>
      </c>
      <c r="F59" s="2">
        <v>0</v>
      </c>
      <c r="G59" s="2">
        <v>0</v>
      </c>
      <c r="H59" s="3">
        <v>0</v>
      </c>
      <c r="I59" t="inlineStr">
        <is>
          <t>No</t>
        </is>
      </c>
    </row>
    <row r="60">
      <c r="A60" t="inlineStr">
        <is>
          <t>pFv2fEXPmFI</t>
        </is>
      </c>
      <c r="B60" t="inlineStr">
        <is>
          <t>🎄 聖誕倒數共讀活動即將開始! 會員專屬</t>
        </is>
      </c>
      <c r="C60" t="inlineStr">
        <is>
          <t>11/29/2025</t>
        </is>
      </c>
      <c r="D60" s="4">
        <f>HYPERLINK("https://www.youtube.com/watch?v=pFv2fEXPmFI","https://www.youtube.com/watch?v=pFv2fEXPmFI")</f>
      </c>
      <c r="E60" s="2">
        <v>0</v>
      </c>
      <c r="F60" s="2">
        <v>0</v>
      </c>
      <c r="G60" s="2">
        <v>0</v>
      </c>
      <c r="H60" s="3">
        <v>0</v>
      </c>
      <c r="I60" t="inlineStr">
        <is>
          <t>No</t>
        </is>
      </c>
    </row>
    <row r="61">
      <c r="A61" t="inlineStr">
        <is>
          <t>_UGl6HqIlRA</t>
        </is>
      </c>
      <c r="B61" t="inlineStr">
        <is>
          <t>因為拼音只是拼讀孩子可能會念卻寫不出換到另一個故事又完全卡住 #shorts</t>
        </is>
      </c>
      <c r="C61" t="inlineStr">
        <is>
          <t>11/29/2025</t>
        </is>
      </c>
      <c r="D61" s="4">
        <f>HYPERLINK("https://www.youtube.com/watch?v=_UGl6HqIlRA","https://www.youtube.com/watch?v=_UGl6HqIlRA")</f>
      </c>
      <c r="E61" s="2">
        <v>1132</v>
      </c>
      <c r="F61" s="2">
        <v>7</v>
      </c>
      <c r="G61" s="2">
        <v>0</v>
      </c>
      <c r="H61" s="3">
        <v>0.0062</v>
      </c>
      <c r="I61" t="inlineStr">
        <is>
          <t>Yes</t>
        </is>
      </c>
    </row>
    <row r="62">
      <c r="A62" t="inlineStr">
        <is>
          <t>ojf4YQ_zNt8</t>
        </is>
      </c>
      <c r="B62" t="inlineStr">
        <is>
          <t>學中文不是教材而是陪伴的時光 #shorts</t>
        </is>
      </c>
      <c r="C62" t="inlineStr">
        <is>
          <t>11/27/2025</t>
        </is>
      </c>
      <c r="D62" s="4">
        <f>HYPERLINK("https://www.youtube.com/watch?v=ojf4YQ_zNt8","https://www.youtube.com/watch?v=ojf4YQ_zNt8")</f>
      </c>
      <c r="E62" s="2">
        <v>696</v>
      </c>
      <c r="F62" s="2">
        <v>4</v>
      </c>
      <c r="G62" s="2">
        <v>0</v>
      </c>
      <c r="H62" s="3">
        <v>0.0057</v>
      </c>
      <c r="I62" t="inlineStr">
        <is>
          <t>Yes</t>
        </is>
      </c>
    </row>
    <row r="63">
      <c r="A63" t="inlineStr">
        <is>
          <t>XphPh6ReY8k</t>
        </is>
      </c>
      <c r="B63" t="inlineStr">
        <is>
          <t>035｜【樂樂 Talk】孩子不缺知識，缺的是情感教育——明灑老師談共讀如何補足學校教育給不了的養分（下）｜S2E12</t>
        </is>
      </c>
      <c r="C63" t="inlineStr">
        <is>
          <t>11/25/2025</t>
        </is>
      </c>
      <c r="D63" s="4">
        <f>HYPERLINK("https://www.youtube.com/watch?v=XphPh6ReY8k","https://www.youtube.com/watch?v=XphPh6ReY8k")</f>
      </c>
      <c r="E63" s="2">
        <v>15</v>
      </c>
      <c r="F63" s="2">
        <v>0</v>
      </c>
      <c r="G63" s="2">
        <v>0</v>
      </c>
      <c r="H63" s="3">
        <v>0</v>
      </c>
      <c r="I63" t="inlineStr">
        <is>
          <t>No</t>
        </is>
      </c>
    </row>
    <row r="64">
      <c r="A64" t="inlineStr">
        <is>
          <t>0ixV5Z4wRbU</t>
        </is>
      </c>
      <c r="B64" t="inlineStr">
        <is>
          <t>孩子在遊戲中參與在陪伴中快樂自然走向  獨立閱讀 #shorts</t>
        </is>
      </c>
      <c r="C64" t="inlineStr">
        <is>
          <t>11/22/2025</t>
        </is>
      </c>
      <c r="D64" s="4">
        <f>HYPERLINK("https://www.youtube.com/watch?v=0ixV5Z4wRbU","https://www.youtube.com/watch?v=0ixV5Z4wRbU")</f>
      </c>
      <c r="E64" s="2">
        <v>333</v>
      </c>
      <c r="F64" s="2">
        <v>0</v>
      </c>
      <c r="G64" s="2">
        <v>0</v>
      </c>
      <c r="H64" s="3">
        <v>0</v>
      </c>
      <c r="I64" t="inlineStr">
        <is>
          <t>Yes</t>
        </is>
      </c>
    </row>
    <row r="65">
      <c r="A65" t="inlineStr">
        <is>
          <t>FvesuyU_Cmk</t>
        </is>
      </c>
      <c r="B65" t="inlineStr">
        <is>
          <t>原來學中文不用一個人苦撐 #shorts</t>
        </is>
      </c>
      <c r="C65" t="inlineStr">
        <is>
          <t>11/20/2025</t>
        </is>
      </c>
      <c r="D65" s="4">
        <f>HYPERLINK("https://www.youtube.com/watch?v=FvesuyU_Cmk","https://www.youtube.com/watch?v=FvesuyU_Cmk")</f>
      </c>
      <c r="E65" s="2">
        <v>2</v>
      </c>
      <c r="F65" s="2">
        <v>0</v>
      </c>
      <c r="G65" s="2">
        <v>0</v>
      </c>
      <c r="H65" s="3">
        <v>0</v>
      </c>
      <c r="I65" t="inlineStr">
        <is>
          <t>Yes</t>
        </is>
      </c>
    </row>
    <row r="66">
      <c r="A66" t="inlineStr">
        <is>
          <t>RxVzs4HJBow</t>
        </is>
      </c>
      <c r="B66" t="inlineStr">
        <is>
          <t>034｜【樂樂 Talk】極簡共讀——明灑老師談大人的感受同樣重要，共讀不是任務，是享受（上）｜S2E11</t>
        </is>
      </c>
      <c r="C66" t="inlineStr">
        <is>
          <t>11/18/2025</t>
        </is>
      </c>
      <c r="D66" s="4">
        <f>HYPERLINK("https://www.youtube.com/watch?v=RxVzs4HJBow","https://www.youtube.com/watch?v=RxVzs4HJBow")</f>
      </c>
      <c r="E66" s="2">
        <v>39</v>
      </c>
      <c r="F66" s="2">
        <v>1</v>
      </c>
      <c r="G66" s="2">
        <v>1</v>
      </c>
      <c r="H66" s="3">
        <v>0.0513</v>
      </c>
      <c r="I66" t="inlineStr">
        <is>
          <t>No</t>
        </is>
      </c>
    </row>
    <row r="67">
      <c r="A67" t="inlineStr">
        <is>
          <t>anmOs42G-0I</t>
        </is>
      </c>
      <c r="B67" t="inlineStr">
        <is>
          <t>我們用上一代的方式去教中文卻讓孩子失去語言的感情 #shorts</t>
        </is>
      </c>
      <c r="C67" t="inlineStr">
        <is>
          <t>11/15/2025</t>
        </is>
      </c>
      <c r="D67" s="4">
        <f>HYPERLINK("https://www.youtube.com/watch?v=anmOs42G-0I","https://www.youtube.com/watch?v=anmOs42G-0I")</f>
      </c>
      <c r="E67" s="2">
        <v>1178</v>
      </c>
      <c r="F67" s="2">
        <v>3</v>
      </c>
      <c r="G67" s="2">
        <v>1</v>
      </c>
      <c r="H67" s="3">
        <v>0.0034</v>
      </c>
      <c r="I67" t="inlineStr">
        <is>
          <t>Yes</t>
        </is>
      </c>
    </row>
    <row r="68">
      <c r="A68" t="inlineStr">
        <is>
          <t>ZFOGcVTpgiY</t>
        </is>
      </c>
      <c r="B68" t="inlineStr">
        <is>
          <t>033｜【樂樂 Talk】孩子進了學校，母語使用率從100%掉到50%——力玄談如何在主流語言環境中為孩子築起母語的堡壘（下）｜S2E10</t>
        </is>
      </c>
      <c r="C68" t="inlineStr">
        <is>
          <t>11/11/2025</t>
        </is>
      </c>
      <c r="D68" s="4">
        <f>HYPERLINK("https://www.youtube.com/watch?v=ZFOGcVTpgiY","https://www.youtube.com/watch?v=ZFOGcVTpgiY")</f>
      </c>
      <c r="E68" s="2">
        <v>35</v>
      </c>
      <c r="F68" s="2">
        <v>1</v>
      </c>
      <c r="G68" s="2">
        <v>1</v>
      </c>
      <c r="H68" s="3">
        <v>0.0571</v>
      </c>
      <c r="I68" t="inlineStr">
        <is>
          <t>No</t>
        </is>
      </c>
    </row>
    <row r="69">
      <c r="A69" t="inlineStr">
        <is>
          <t>0mruiiNyj9M</t>
        </is>
      </c>
      <c r="B69" t="inlineStr">
        <is>
          <t>沒有家庭輸入沒有和家人的中文連結再好的中文學校再多的課程也只是表面功夫 #shorts</t>
        </is>
      </c>
      <c r="C69" t="inlineStr">
        <is>
          <t>11/08/2025</t>
        </is>
      </c>
      <c r="D69" s="4">
        <f>HYPERLINK("https://www.youtube.com/watch?v=0mruiiNyj9M","https://www.youtube.com/watch?v=0mruiiNyj9M")</f>
      </c>
      <c r="E69" s="2">
        <v>211</v>
      </c>
      <c r="F69" s="2">
        <v>1</v>
      </c>
      <c r="G69" s="2">
        <v>0</v>
      </c>
      <c r="H69" s="3">
        <v>0.0047</v>
      </c>
      <c r="I69" t="inlineStr">
        <is>
          <t>Yes</t>
        </is>
      </c>
    </row>
    <row r="70">
      <c r="A70" t="inlineStr">
        <is>
          <t>TOtqkJORHhg</t>
        </is>
      </c>
      <c r="B70" t="inlineStr">
        <is>
          <t>覺得自己中文不夠好就不敢陪孩子一起學嗎 #shorts</t>
        </is>
      </c>
      <c r="C70" t="inlineStr">
        <is>
          <t>11/06/2025</t>
        </is>
      </c>
      <c r="D70" s="4">
        <f>HYPERLINK("https://www.youtube.com/watch?v=TOtqkJORHhg","https://www.youtube.com/watch?v=TOtqkJORHhg")</f>
      </c>
      <c r="E70" s="2">
        <v>1317</v>
      </c>
      <c r="F70" s="2">
        <v>15</v>
      </c>
      <c r="G70" s="2">
        <v>0</v>
      </c>
      <c r="H70" s="3">
        <v>0.0114</v>
      </c>
      <c r="I70" t="inlineStr">
        <is>
          <t>Yes</t>
        </is>
      </c>
    </row>
    <row r="71">
      <c r="A71" t="inlineStr">
        <is>
          <t>qgzJr7ZtvhE</t>
        </is>
      </c>
      <c r="B71" t="inlineStr">
        <is>
          <t>在樂樂學苑  孩子在 show  tell 裡分享自己怎麼念樂樂書 #shorts</t>
        </is>
      </c>
      <c r="C71" t="inlineStr">
        <is>
          <t>11/05/2025</t>
        </is>
      </c>
      <c r="D71" s="4">
        <f>HYPERLINK("https://www.youtube.com/watch?v=qgzJr7ZtvhE","https://www.youtube.com/watch?v=qgzJr7ZtvhE")</f>
      </c>
      <c r="E71" s="2">
        <v>70</v>
      </c>
      <c r="F71" s="2">
        <v>0</v>
      </c>
      <c r="G71" s="2">
        <v>0</v>
      </c>
      <c r="H71" s="3">
        <v>0</v>
      </c>
      <c r="I71" t="inlineStr">
        <is>
          <t>Yes</t>
        </is>
      </c>
    </row>
    <row r="72">
      <c r="A72" t="inlineStr">
        <is>
          <t>9SQ9Vlq1RIc</t>
        </is>
      </c>
      <c r="B72" t="inlineStr">
        <is>
          <t>032｜【樂樂 Talk】什麼是母語？為什麼要為孩子保留它——台語路協會理事長力玄談母語傳承與找回的旅程（上）｜S2E09</t>
        </is>
      </c>
      <c r="C72" t="inlineStr">
        <is>
          <t>11/04/2025</t>
        </is>
      </c>
      <c r="D72" s="4">
        <f>HYPERLINK("https://www.youtube.com/watch?v=9SQ9Vlq1RIc","https://www.youtube.com/watch?v=9SQ9Vlq1RIc")</f>
      </c>
      <c r="E72" s="2">
        <v>36</v>
      </c>
      <c r="F72" s="2">
        <v>2</v>
      </c>
      <c r="G72" s="2">
        <v>0</v>
      </c>
      <c r="H72" s="3">
        <v>0.0556</v>
      </c>
      <c r="I72" t="inlineStr">
        <is>
          <t>No</t>
        </is>
      </c>
    </row>
    <row r="73">
      <c r="A73" t="inlineStr">
        <is>
          <t>0kc4Dapw_To</t>
        </is>
      </c>
      <c r="B73" t="inlineStr">
        <is>
          <t>一起看看樂樂家庭怎麼用閱讀讓中文變得有趣</t>
        </is>
      </c>
      <c r="C73" t="inlineStr">
        <is>
          <t>10/30/2025</t>
        </is>
      </c>
      <c r="D73" s="4">
        <f>HYPERLINK("https://www.youtube.com/watch?v=0kc4Dapw_To","https://www.youtube.com/watch?v=0kc4Dapw_To")</f>
      </c>
      <c r="E73" s="2">
        <v>158</v>
      </c>
      <c r="F73" s="2">
        <v>2</v>
      </c>
      <c r="G73" s="2">
        <v>0</v>
      </c>
      <c r="H73" s="3">
        <v>0.0127</v>
      </c>
      <c r="I73" t="inlineStr">
        <is>
          <t>No</t>
        </is>
      </c>
    </row>
    <row r="74">
      <c r="A74" t="inlineStr">
        <is>
          <t>iOcGa4QDSbs</t>
        </is>
      </c>
      <c r="B74" t="inlineStr">
        <is>
          <t>語言不只是技能而是家的溫度愛的鑰匙  #shorts</t>
        </is>
      </c>
      <c r="C74" t="inlineStr">
        <is>
          <t>10/30/2025</t>
        </is>
      </c>
      <c r="D74" s="4">
        <f>HYPERLINK("https://www.youtube.com/watch?v=iOcGa4QDSbs","https://www.youtube.com/watch?v=iOcGa4QDSbs")</f>
      </c>
      <c r="E74" s="2">
        <v>531</v>
      </c>
      <c r="F74" s="2">
        <v>5</v>
      </c>
      <c r="G74" s="2">
        <v>1</v>
      </c>
      <c r="H74" s="3">
        <v>0.0113</v>
      </c>
      <c r="I74" t="inlineStr">
        <is>
          <t>Yes</t>
        </is>
      </c>
    </row>
    <row r="75">
      <c r="A75" t="inlineStr">
        <is>
          <t>VeX2IrkpDOE</t>
        </is>
      </c>
      <c r="B75" t="inlineStr">
        <is>
          <t>037｜【樂樂 Talk】孩子只想看漫畫，算閱讀嗎？——Peggy 談獨立閱讀後如何守住那份熱愛（下）｜S1E14</t>
        </is>
      </c>
      <c r="C75" t="inlineStr">
        <is>
          <t>10/28/2025</t>
        </is>
      </c>
      <c r="D75" s="4">
        <f>HYPERLINK("https://www.youtube.com/watch?v=VeX2IrkpDOE","https://www.youtube.com/watch?v=VeX2IrkpDOE")</f>
      </c>
      <c r="E75" s="2">
        <v>47</v>
      </c>
      <c r="F75" s="2">
        <v>1</v>
      </c>
      <c r="G75" s="2">
        <v>0</v>
      </c>
      <c r="H75" s="3">
        <v>0.0213</v>
      </c>
      <c r="I75" t="inlineStr">
        <is>
          <t>No</t>
        </is>
      </c>
    </row>
    <row r="76">
      <c r="A76" t="inlineStr">
        <is>
          <t>Kap_qkHuilM</t>
        </is>
      </c>
      <c r="B76" t="inlineStr">
        <is>
          <t>只要孩子建立了閱讀能力他就會變成一個自學機器人  #shorts</t>
        </is>
      </c>
      <c r="C76" t="inlineStr">
        <is>
          <t>10/25/2025</t>
        </is>
      </c>
      <c r="D76" s="4">
        <f>HYPERLINK("https://www.youtube.com/watch?v=Kap_qkHuilM","https://www.youtube.com/watch?v=Kap_qkHuilM")</f>
      </c>
      <c r="E76" s="2">
        <v>184</v>
      </c>
      <c r="F76" s="2">
        <v>0</v>
      </c>
      <c r="G76" s="2">
        <v>0</v>
      </c>
      <c r="H76" s="3">
        <v>0</v>
      </c>
      <c r="I76" t="inlineStr">
        <is>
          <t>Yes</t>
        </is>
      </c>
    </row>
    <row r="77">
      <c r="A77" t="inlineStr">
        <is>
          <t>BxgMlfqRQIE</t>
        </is>
      </c>
      <c r="B77" t="inlineStr">
        <is>
          <t>036｜【樂樂 Talk】本來只想說廣東話就夠了——Squeaky Dumplings Peggy 談身分認同、閱讀敏感期與讓中文成為生活的方法（上）｜S1E13</t>
        </is>
      </c>
      <c r="C77" t="inlineStr">
        <is>
          <t>10/21/2025</t>
        </is>
      </c>
      <c r="D77" s="4">
        <f>HYPERLINK("https://www.youtube.com/watch?v=BxgMlfqRQIE","https://www.youtube.com/watch?v=BxgMlfqRQIE")</f>
      </c>
      <c r="E77" s="2">
        <v>37</v>
      </c>
      <c r="F77" s="2">
        <v>1</v>
      </c>
      <c r="G77" s="2">
        <v>0</v>
      </c>
      <c r="H77" s="3">
        <v>0.027</v>
      </c>
      <c r="I77" t="inlineStr">
        <is>
          <t>No</t>
        </is>
      </c>
    </row>
    <row r="78">
      <c r="A78" t="inlineStr">
        <is>
          <t>TMBYaTbci1k</t>
        </is>
      </c>
      <c r="B78" t="inlineStr">
        <is>
          <t>只靠週末補中文真的不夠 #shorts</t>
        </is>
      </c>
      <c r="C78" t="inlineStr">
        <is>
          <t>10/18/2025</t>
        </is>
      </c>
      <c r="D78" s="4">
        <f>HYPERLINK("https://www.youtube.com/watch?v=TMBYaTbci1k","https://www.youtube.com/watch?v=TMBYaTbci1k")</f>
      </c>
      <c r="E78" s="2">
        <v>25</v>
      </c>
      <c r="F78" s="2">
        <v>1</v>
      </c>
      <c r="G78" s="2">
        <v>0</v>
      </c>
      <c r="H78" s="3">
        <v>0.04</v>
      </c>
      <c r="I78" t="inlineStr">
        <is>
          <t>Yes</t>
        </is>
      </c>
    </row>
    <row r="79">
      <c r="A79" t="inlineStr">
        <is>
          <t>8__o_r_dr4M</t>
        </is>
      </c>
      <c r="B79" t="inlineStr">
        <is>
          <t>快樂閱讀才是孩子的語言之路 #shorts</t>
        </is>
      </c>
      <c r="C79" t="inlineStr">
        <is>
          <t>10/16/2025</t>
        </is>
      </c>
      <c r="D79" s="4">
        <f>HYPERLINK("https://www.youtube.com/watch?v=8__o_r_dr4M","https://www.youtube.com/watch?v=8__o_r_dr4M")</f>
      </c>
      <c r="E79" s="2">
        <v>68</v>
      </c>
      <c r="F79" s="2">
        <v>1</v>
      </c>
      <c r="G79" s="2">
        <v>1</v>
      </c>
      <c r="H79" s="3">
        <v>0.0294</v>
      </c>
      <c r="I79" t="inlineStr">
        <is>
          <t>Yes</t>
        </is>
      </c>
    </row>
    <row r="80">
      <c r="A80" t="inlineStr">
        <is>
          <t>D3J2PrJtgxQ</t>
        </is>
      </c>
      <c r="B80" t="inlineStr">
        <is>
          <t>031｜【樂樂 Talk】點讀筆糾正了媽媽的發音——厚厚私塾 Iris 談中文遊戲與持續輸入的力量（下）｜S1E12</t>
        </is>
      </c>
      <c r="C80" t="inlineStr">
        <is>
          <t>10/14/2025</t>
        </is>
      </c>
      <c r="D80" s="4">
        <f>HYPERLINK("https://www.youtube.com/watch?v=D3J2PrJtgxQ","https://www.youtube.com/watch?v=D3J2PrJtgxQ")</f>
      </c>
      <c r="E80" s="2">
        <v>30</v>
      </c>
      <c r="F80" s="2">
        <v>0</v>
      </c>
      <c r="G80" s="2">
        <v>0</v>
      </c>
      <c r="H80" s="3">
        <v>0</v>
      </c>
      <c r="I80" t="inlineStr">
        <is>
          <t>No</t>
        </is>
      </c>
    </row>
    <row r="81">
      <c r="A81" t="inlineStr">
        <is>
          <t>6pWGpIUBSBs</t>
        </is>
      </c>
      <c r="B81" t="inlineStr">
        <is>
          <t>孩子不是等會了才開始是開始了才會  #shorts</t>
        </is>
      </c>
      <c r="C81" t="inlineStr">
        <is>
          <t>10/11/2025</t>
        </is>
      </c>
      <c r="D81" s="4">
        <f>HYPERLINK("https://www.youtube.com/watch?v=6pWGpIUBSBs","https://www.youtube.com/watch?v=6pWGpIUBSBs")</f>
      </c>
      <c r="E81" s="2">
        <v>51</v>
      </c>
      <c r="F81" s="2">
        <v>1</v>
      </c>
      <c r="G81" s="2">
        <v>0</v>
      </c>
      <c r="H81" s="3">
        <v>0.0196</v>
      </c>
      <c r="I81" t="inlineStr">
        <is>
          <t>Yes</t>
        </is>
      </c>
    </row>
    <row r="82">
      <c r="A82" t="inlineStr">
        <is>
          <t>5eDsf75XtOg</t>
        </is>
      </c>
      <c r="B82" t="inlineStr">
        <is>
          <t>每天 10 分鐘故事時間孩子從不想讀到主動愛上中文 #shorts</t>
        </is>
      </c>
      <c r="C82" t="inlineStr">
        <is>
          <t>10/09/2025</t>
        </is>
      </c>
      <c r="D82" s="4">
        <f>HYPERLINK("https://www.youtube.com/watch?v=5eDsf75XtOg","https://www.youtube.com/watch?v=5eDsf75XtOg")</f>
      </c>
      <c r="E82" s="2">
        <v>45</v>
      </c>
      <c r="F82" s="2">
        <v>0</v>
      </c>
      <c r="G82" s="2">
        <v>0</v>
      </c>
      <c r="H82" s="3">
        <v>0</v>
      </c>
      <c r="I82" t="inlineStr">
        <is>
          <t>Yes</t>
        </is>
      </c>
    </row>
    <row r="83">
      <c r="A83" t="inlineStr">
        <is>
          <t>jI0oXaLYHlw</t>
        </is>
      </c>
      <c r="B83" t="inlineStr">
        <is>
          <t>030｜【樂樂 Talk】指讀指到母子離心？——厚厚私塾 Iris 談每個孩子都有自己的中文學習節奏（上）｜S1E11</t>
        </is>
      </c>
      <c r="C83" t="inlineStr">
        <is>
          <t>10/07/2025</t>
        </is>
      </c>
      <c r="D83" s="4">
        <f>HYPERLINK("https://www.youtube.com/watch?v=jI0oXaLYHlw","https://www.youtube.com/watch?v=jI0oXaLYHlw")</f>
      </c>
      <c r="E83" s="2">
        <v>96</v>
      </c>
      <c r="F83" s="2">
        <v>3</v>
      </c>
      <c r="G83" s="2">
        <v>0</v>
      </c>
      <c r="H83" s="3">
        <v>0.0312</v>
      </c>
      <c r="I83" t="inlineStr">
        <is>
          <t>No</t>
        </is>
      </c>
    </row>
    <row r="84">
      <c r="A84" t="inlineStr">
        <is>
          <t>0iC4fAn_-fM</t>
        </is>
      </c>
      <c r="B84" t="inlineStr">
        <is>
          <t>想要月餅活動紙留言GROUP</t>
        </is>
      </c>
      <c r="C84" t="inlineStr">
        <is>
          <t>10/05/2025</t>
        </is>
      </c>
      <c r="D84" s="4">
        <f>HYPERLINK("https://www.youtube.com/watch?v=0iC4fAn_-fM","https://www.youtube.com/watch?v=0iC4fAn_-fM")</f>
      </c>
      <c r="E84" s="2">
        <v>1830</v>
      </c>
      <c r="F84" s="2">
        <v>10</v>
      </c>
      <c r="G84" s="2">
        <v>0</v>
      </c>
      <c r="H84" s="3">
        <v>0.0055</v>
      </c>
      <c r="I84" t="inlineStr">
        <is>
          <t>No</t>
        </is>
      </c>
    </row>
    <row r="85">
      <c r="A85" t="inlineStr">
        <is>
          <t>KNS-WNSempE</t>
        </is>
      </c>
      <c r="B85" t="inlineStr">
        <is>
          <t>月圓人團圓</t>
        </is>
      </c>
      <c r="C85" t="inlineStr">
        <is>
          <t>10/04/2025</t>
        </is>
      </c>
      <c r="D85" s="4">
        <f>HYPERLINK("https://www.youtube.com/watch?v=KNS-WNSempE","https://www.youtube.com/watch?v=KNS-WNSempE")</f>
      </c>
      <c r="E85" s="2">
        <v>6</v>
      </c>
      <c r="F85" s="2">
        <v>0</v>
      </c>
      <c r="G85" s="2">
        <v>0</v>
      </c>
      <c r="H85" s="3">
        <v>0</v>
      </c>
      <c r="I85" t="inlineStr">
        <is>
          <t>No</t>
        </is>
      </c>
    </row>
    <row r="86">
      <c r="A86" t="inlineStr">
        <is>
          <t>k-CNvcbt7SA</t>
        </is>
      </c>
      <c r="B86"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86" t="inlineStr">
        <is>
          <t>10/04/2025</t>
        </is>
      </c>
      <c r="D86" s="4">
        <f>HYPERLINK("https://www.youtube.com/watch?v=k-CNvcbt7SA","https://www.youtube.com/watch?v=k-CNvcbt7SA")</f>
      </c>
      <c r="E86" s="2">
        <v>10</v>
      </c>
      <c r="F86" s="2">
        <v>0</v>
      </c>
      <c r="G86" s="2">
        <v>0</v>
      </c>
      <c r="H86" s="3">
        <v>0</v>
      </c>
      <c r="I86" t="inlineStr">
        <is>
          <t>Yes</t>
        </is>
      </c>
    </row>
    <row r="87">
      <c r="A87" t="inlineStr">
        <is>
          <t>BGxO2XSkydo</t>
        </is>
      </c>
      <c r="B87" t="inlineStr">
        <is>
          <t>最有效的方法反而是免費的</t>
        </is>
      </c>
      <c r="C87" t="inlineStr">
        <is>
          <t>10/02/2025</t>
        </is>
      </c>
      <c r="D87" s="4">
        <f>HYPERLINK("https://www.youtube.com/watch?v=BGxO2XSkydo","https://www.youtube.com/watch?v=BGxO2XSkydo")</f>
      </c>
      <c r="E87" s="2">
        <v>924</v>
      </c>
      <c r="F87" s="2">
        <v>17</v>
      </c>
      <c r="G87" s="2">
        <v>0</v>
      </c>
      <c r="H87" s="3">
        <v>0.0184</v>
      </c>
      <c r="I87" t="inlineStr">
        <is>
          <t>No</t>
        </is>
      </c>
    </row>
    <row r="88">
      <c r="A88" t="inlineStr">
        <is>
          <t>L2Ub9RDXP3Y</t>
        </is>
      </c>
      <c r="B88" t="inlineStr">
        <is>
          <t>029｜【樂樂 Talk】孩子現在只願意說英文——從今天開始，永遠不嫌晚的改變方法｜S3E11</t>
        </is>
      </c>
      <c r="C88" t="inlineStr">
        <is>
          <t>10/01/2025</t>
        </is>
      </c>
      <c r="D88" s="4">
        <f>HYPERLINK("https://www.youtube.com/watch?v=L2Ub9RDXP3Y","https://www.youtube.com/watch?v=L2Ub9RDXP3Y")</f>
      </c>
      <c r="E88" s="2">
        <v>27</v>
      </c>
      <c r="F88" s="2">
        <v>1</v>
      </c>
      <c r="G88" s="2">
        <v>0</v>
      </c>
      <c r="H88" s="3">
        <v>0.037</v>
      </c>
      <c r="I88" t="inlineStr">
        <is>
          <t>No</t>
        </is>
      </c>
    </row>
    <row r="89">
      <c r="A89" t="inlineStr">
        <is>
          <t>gfA8thtxR0k</t>
        </is>
      </c>
      <c r="B89" t="inlineStr">
        <is>
          <t>你準備好孩子長期的中文計劃了嗎</t>
        </is>
      </c>
      <c r="C89" t="inlineStr">
        <is>
          <t>09/30/2025</t>
        </is>
      </c>
      <c r="D89" s="4">
        <f>HYPERLINK("https://www.youtube.com/watch?v=gfA8thtxR0k","https://www.youtube.com/watch?v=gfA8thtxR0k")</f>
      </c>
      <c r="E89" s="2">
        <v>323</v>
      </c>
      <c r="F89" s="2">
        <v>3</v>
      </c>
      <c r="G89" s="2">
        <v>0</v>
      </c>
      <c r="H89" s="3">
        <v>0.0093</v>
      </c>
      <c r="I89" t="inlineStr">
        <is>
          <t>No</t>
        </is>
      </c>
    </row>
    <row r="90">
      <c r="A90" t="inlineStr">
        <is>
          <t>accuuAQqCiY</t>
        </is>
      </c>
      <c r="B90" t="inlineStr">
        <is>
          <t>萬聖節 10 日共讀挑戰開跑 #shorts</t>
        </is>
      </c>
      <c r="C90" t="inlineStr">
        <is>
          <t>09/27/2025</t>
        </is>
      </c>
      <c r="D90" s="4">
        <f>HYPERLINK("https://www.youtube.com/watch?v=accuuAQqCiY","https://www.youtube.com/watch?v=accuuAQqCiY")</f>
      </c>
      <c r="E90" s="2">
        <v>100</v>
      </c>
      <c r="F90" s="2">
        <v>1</v>
      </c>
      <c r="G90" s="2">
        <v>0</v>
      </c>
      <c r="H90" s="3">
        <v>0.01</v>
      </c>
      <c r="I90" t="inlineStr">
        <is>
          <t>Yes</t>
        </is>
      </c>
    </row>
    <row r="91">
      <c r="A91" t="inlineStr">
        <is>
          <t>7LCi7ktmZXk</t>
        </is>
      </c>
      <c r="B91" t="inlineStr">
        <is>
          <t>原來孩子放棄中文的真正原因是....</t>
        </is>
      </c>
      <c r="C91" t="inlineStr">
        <is>
          <t>09/27/2025</t>
        </is>
      </c>
      <c r="D91" s="4">
        <f>HYPERLINK("https://www.youtube.com/watch?v=7LCi7ktmZXk","https://www.youtube.com/watch?v=7LCi7ktmZXk")</f>
      </c>
      <c r="E91" s="2">
        <v>9</v>
      </c>
      <c r="F91" s="2">
        <v>0</v>
      </c>
      <c r="G91" s="2">
        <v>0</v>
      </c>
      <c r="H91" s="3">
        <v>0</v>
      </c>
      <c r="I91" t="inlineStr">
        <is>
          <t>No</t>
        </is>
      </c>
    </row>
    <row r="92">
      <c r="A92" t="inlineStr">
        <is>
          <t>1Yp-hUO3SpA</t>
        </is>
      </c>
      <c r="B92" t="inlineStr">
        <is>
          <t>聽起來不可思議但太多家庭都遇到一樣的問題 #shorts</t>
        </is>
      </c>
      <c r="C92" t="inlineStr">
        <is>
          <t>09/25/2025</t>
        </is>
      </c>
      <c r="D92" s="4">
        <f>HYPERLINK("https://www.youtube.com/watch?v=1Yp-hUO3SpA","https://www.youtube.com/watch?v=1Yp-hUO3SpA")</f>
      </c>
      <c r="E92" s="2">
        <v>1074</v>
      </c>
      <c r="F92" s="2">
        <v>13</v>
      </c>
      <c r="G92" s="2">
        <v>1</v>
      </c>
      <c r="H92" s="3">
        <v>0.013</v>
      </c>
      <c r="I92" t="inlineStr">
        <is>
          <t>Yes</t>
        </is>
      </c>
    </row>
    <row r="93">
      <c r="A93" t="inlineStr">
        <is>
          <t>hLqDU4hlBCM</t>
        </is>
      </c>
      <c r="B93" t="inlineStr">
        <is>
          <t>028｜【樂樂 Talk】我不夠努力？——打破自我否定，用一杯珍奶的心態開始陪孩子學中文｜S3E10</t>
        </is>
      </c>
      <c r="C93" t="inlineStr">
        <is>
          <t>09/24/2025</t>
        </is>
      </c>
      <c r="D93" s="4">
        <f>HYPERLINK("https://www.youtube.com/watch?v=hLqDU4hlBCM","https://www.youtube.com/watch?v=hLqDU4hlBCM")</f>
      </c>
      <c r="E93" s="2">
        <v>15</v>
      </c>
      <c r="F93" s="2">
        <v>0</v>
      </c>
      <c r="G93" s="2">
        <v>0</v>
      </c>
      <c r="H93" s="3">
        <v>0</v>
      </c>
      <c r="I93" t="inlineStr">
        <is>
          <t>No</t>
        </is>
      </c>
    </row>
    <row r="94">
      <c r="A94" t="inlineStr">
        <is>
          <t>W3yWoHlXbQ8</t>
        </is>
      </c>
      <c r="B94" t="inlineStr">
        <is>
          <t>蛋炒飯串起與家人的回憶</t>
        </is>
      </c>
      <c r="C94" t="inlineStr">
        <is>
          <t>09/20/2025</t>
        </is>
      </c>
      <c r="D94" s="4">
        <f>HYPERLINK("https://www.youtube.com/watch?v=W3yWoHlXbQ8","https://www.youtube.com/watch?v=W3yWoHlXbQ8")</f>
      </c>
      <c r="E94" s="2">
        <v>136</v>
      </c>
      <c r="F94" s="2">
        <v>1</v>
      </c>
      <c r="G94" s="2">
        <v>0</v>
      </c>
      <c r="H94" s="3">
        <v>0.0074</v>
      </c>
      <c r="I94" t="inlineStr">
        <is>
          <t>No</t>
        </is>
      </c>
    </row>
    <row r="95">
      <c r="A95" t="inlineStr">
        <is>
          <t>o63PbJSSIME</t>
        </is>
      </c>
      <c r="B95" t="inlineStr">
        <is>
          <t>教孩子不能用我們小時候的方法</t>
        </is>
      </c>
      <c r="C95" t="inlineStr">
        <is>
          <t>09/18/2025</t>
        </is>
      </c>
      <c r="D95" s="4">
        <f>HYPERLINK("https://www.youtube.com/watch?v=o63PbJSSIME","https://www.youtube.com/watch?v=o63PbJSSIME")</f>
      </c>
      <c r="E95" s="2">
        <v>217</v>
      </c>
      <c r="F95" s="2">
        <v>1</v>
      </c>
      <c r="G95" s="2">
        <v>0</v>
      </c>
      <c r="H95" s="3">
        <v>0.0046</v>
      </c>
      <c r="I95" t="inlineStr">
        <is>
          <t>No</t>
        </is>
      </c>
    </row>
    <row r="96">
      <c r="A96" t="inlineStr">
        <is>
          <t>oXFtZxpw3TM</t>
        </is>
      </c>
      <c r="B96" t="inlineStr">
        <is>
          <t>027｜【樂樂 Talk】另一半不會中文，怎麼辦？——讓全家一起參與孩子中文學習的實戰方法｜S3E09</t>
        </is>
      </c>
      <c r="C96" t="inlineStr">
        <is>
          <t>09/17/2025</t>
        </is>
      </c>
      <c r="D96" s="4">
        <f>HYPERLINK("https://www.youtube.com/watch?v=oXFtZxpw3TM","https://www.youtube.com/watch?v=oXFtZxpw3TM")</f>
      </c>
      <c r="E96" s="2">
        <v>10</v>
      </c>
      <c r="F96" s="2">
        <v>0</v>
      </c>
      <c r="G96" s="2">
        <v>0</v>
      </c>
      <c r="H96" s="3">
        <v>0</v>
      </c>
      <c r="I96" t="inlineStr">
        <is>
          <t>No</t>
        </is>
      </c>
    </row>
    <row r="97">
      <c r="A97" t="inlineStr">
        <is>
          <t>8dYZrgBXARI</t>
        </is>
      </c>
      <c r="B97" t="inlineStr">
        <is>
          <t>✈️ 都移民了為什麼還要教小孩中文 🧳 🏠</t>
        </is>
      </c>
      <c r="C97" t="inlineStr">
        <is>
          <t>09/11/2025</t>
        </is>
      </c>
      <c r="D97" s="4">
        <f>HYPERLINK("https://www.youtube.com/watch?v=8dYZrgBXARI","https://www.youtube.com/watch?v=8dYZrgBXARI")</f>
      </c>
      <c r="E97" s="2">
        <v>949</v>
      </c>
      <c r="F97" s="2">
        <v>9</v>
      </c>
      <c r="G97" s="2">
        <v>0</v>
      </c>
      <c r="H97" s="3">
        <v>0.0095</v>
      </c>
      <c r="I97" t="inlineStr">
        <is>
          <t>No</t>
        </is>
      </c>
    </row>
    <row r="98">
      <c r="A98" t="inlineStr">
        <is>
          <t>gKFvpuSTAnI</t>
        </is>
      </c>
      <c r="B98" t="inlineStr">
        <is>
          <t>026｜【樂樂 Talk】海外陪孩子學中文最常見的兩個誤區——注音和識字量，你掉進去了嗎？｜S3E08</t>
        </is>
      </c>
      <c r="C98" t="inlineStr">
        <is>
          <t>09/10/2025</t>
        </is>
      </c>
      <c r="D98" s="4">
        <f>HYPERLINK("https://www.youtube.com/watch?v=gKFvpuSTAnI","https://www.youtube.com/watch?v=gKFvpuSTAnI")</f>
      </c>
      <c r="E98" s="2">
        <v>20</v>
      </c>
      <c r="F98" s="2">
        <v>1</v>
      </c>
      <c r="G98" s="2">
        <v>0</v>
      </c>
      <c r="H98" s="3">
        <v>0.05</v>
      </c>
      <c r="I98" t="inlineStr">
        <is>
          <t>No</t>
        </is>
      </c>
    </row>
    <row r="99">
      <c r="A99" t="inlineStr">
        <is>
          <t>NwXxciSquSU</t>
        </is>
      </c>
      <c r="B99" t="inlineStr">
        <is>
          <t>為什麼孩子能在故事中 自然地把文字圖像和經驗連起來</t>
        </is>
      </c>
      <c r="C99" t="inlineStr">
        <is>
          <t>09/05/2025</t>
        </is>
      </c>
      <c r="D99" s="4">
        <f>HYPERLINK("https://www.youtube.com/watch?v=NwXxciSquSU","https://www.youtube.com/watch?v=NwXxciSquSU")</f>
      </c>
      <c r="E99" s="2">
        <v>19</v>
      </c>
      <c r="F99" s="2">
        <v>0</v>
      </c>
      <c r="G99" s="2">
        <v>0</v>
      </c>
      <c r="H99" s="3">
        <v>0</v>
      </c>
      <c r="I99" t="inlineStr">
        <is>
          <t>No</t>
        </is>
      </c>
    </row>
    <row r="100">
      <c r="A100" t="inlineStr">
        <is>
          <t>1Vyb1Lt5UOU</t>
        </is>
      </c>
      <c r="B100" t="inlineStr">
        <is>
          <t>設定目標  🎯 setting goals～Stephanie</t>
        </is>
      </c>
      <c r="C100" t="inlineStr">
        <is>
          <t>09/04/2025</t>
        </is>
      </c>
      <c r="D100" s="4">
        <f>HYPERLINK("https://www.youtube.com/watch?v=1Vyb1Lt5UOU","https://www.youtube.com/watch?v=1Vyb1Lt5UOU")</f>
      </c>
      <c r="E100" s="2">
        <v>100</v>
      </c>
      <c r="F100" s="2">
        <v>1</v>
      </c>
      <c r="G100" s="2">
        <v>0</v>
      </c>
      <c r="H100" s="3">
        <v>0.01</v>
      </c>
      <c r="I100" t="inlineStr">
        <is>
          <t>No</t>
        </is>
      </c>
    </row>
    <row r="101">
      <c r="A101" t="inlineStr">
        <is>
          <t>XPAxt3Tx2D8</t>
        </is>
      </c>
      <c r="B101" t="inlineStr">
        <is>
          <t>025｜【樂樂 Talk】小孩坐不住，還能學中文嗎？——給不想逼孩子的爸媽的語言解方｜S3E07</t>
        </is>
      </c>
      <c r="C101" t="inlineStr">
        <is>
          <t>09/03/2025</t>
        </is>
      </c>
      <c r="D101" s="4">
        <f>HYPERLINK("https://www.youtube.com/watch?v=XPAxt3Tx2D8","https://www.youtube.com/watch?v=XPAxt3Tx2D8")</f>
      </c>
      <c r="E101" s="2">
        <v>21</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row r="16">
      <c r="A16" t="inlineStr">
        <is>
          <t>1Yp-hUO3SpA</t>
        </is>
      </c>
      <c r="B16" t="inlineStr">
        <is>
          <t>聽起來不可思議但太多家庭都遇到一樣的問題 #shorts</t>
        </is>
      </c>
      <c r="C16" s="4">
        <f>HYPERLINK("https://www.youtube.com/watch?v=1Yp-hUO3SpA","https://www.youtube.com/watch?v=1Yp-hUO3SpA")</f>
      </c>
      <c r="D16" t="inlineStr">
        <is>
          <t>@心自己嚇自己</t>
        </is>
      </c>
      <c r="E16" t="inlineStr">
        <is>
          <t>09/26/2025</t>
        </is>
      </c>
      <c r="F16" s="2">
        <v>1</v>
      </c>
      <c r="G16" t="inlineStr">
        <is>
          <t>？那所以我可以重讀幼兒園了！</t>
        </is>
      </c>
      <c r="H16" t="inlineStr">
        <is>
          <t>No</t>
        </is>
      </c>
      <c r="I16" t="inlineStr">
        <is>
          <t>學習/共讀</t>
        </is>
      </c>
      <c r="J16" t="inlineStr">
        <is>
          <t>未分類</t>
        </is>
      </c>
      <c r="K16" t="inlineStr">
        <is>
          <t>可回覆：接住家長經驗，補一句每天一點點、陪伴比完美重要。</t>
        </is>
      </c>
    </row>
  </sheetData>
  <autoFilter ref="A1:K16"/>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共讀與閱讀</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